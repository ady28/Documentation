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https://microsoft-my.sharepoint.com/personal/josha_microsoft_com/Documents/SDS/SDS Calculator/"/>
    </mc:Choice>
  </mc:AlternateContent>
  <bookViews>
    <workbookView xWindow="0" yWindow="0" windowWidth="15360" windowHeight="8745"/>
  </bookViews>
  <sheets>
    <sheet name="QuickDesign" sheetId="5" r:id="rId1"/>
    <sheet name="AdvancedDesign" sheetId="1" r:id="rId2"/>
    <sheet name="Calculations" sheetId="3" r:id="rId3"/>
    <sheet name="SupportingTables" sheetId="2" r:id="rId4"/>
    <sheet name="Constants" sheetId="4" r:id="rId5"/>
  </sheets>
  <definedNames>
    <definedName name="Architecture">AdvancedDesign!$P$20</definedName>
    <definedName name="ColumnCount">Calculations!$O$21</definedName>
    <definedName name="ColumnCountMax">Calculations!$O$22</definedName>
    <definedName name="ColumnCountReduction">Calculations!$O$27</definedName>
    <definedName name="DataCopies">Calculations!$O$13</definedName>
    <definedName name="DesignSizeInTb">AdvancedDesign!$J$27</definedName>
    <definedName name="DraftHddCount">AdvancedDesign!$J$48</definedName>
    <definedName name="DraftSsdCount">AdvancedDesign!$J$49</definedName>
    <definedName name="EA">AdvancedDesign!$AB$28</definedName>
    <definedName name="EmptyHddSlots">Calculations!$D$25</definedName>
    <definedName name="EmptySsdSlots">Calculations!$D$26</definedName>
    <definedName name="EmptyTotalSlots">Calculations!$D$24</definedName>
    <definedName name="FastRebuildOverheadInGiB">Constants!$C$6</definedName>
    <definedName name="FillEmptySlots">AdvancedDesign!$AL$21</definedName>
    <definedName name="FinalHddCount">Calculations!$D$29</definedName>
    <definedName name="FinalSsdCount">Calculations!$D$30</definedName>
    <definedName name="GBtoGiB">Constants!$C$5</definedName>
    <definedName name="HddBackupPercentage">AdvancedDesign!$J$28</definedName>
    <definedName name="HddRebuildPerPool">AdvancedDesign!$AB$25</definedName>
    <definedName name="HddReserveCapacity">Calculations!$H$22</definedName>
    <definedName name="HddSizeInTB">AdvancedDesign!$AL$23</definedName>
    <definedName name="HddsReservedForBackup">Calculations!$H$8</definedName>
    <definedName name="InitalJbodSlotsRequired">Calculations!$D$16</definedName>
    <definedName name="InitialHddCount">Calculations!$D$9</definedName>
    <definedName name="InitialJbodCount">Calculations!$D$19</definedName>
    <definedName name="InitialSsdCount">Calculations!$D$14</definedName>
    <definedName name="IntialJbodCount">Calculations!$D$19</definedName>
    <definedName name="IoOperationsTable">Table4[IO Operations]</definedName>
    <definedName name="JbodCount">AdvancedDesign!$J$38</definedName>
    <definedName name="JbodSlotCount">AdvancedDesign!$AL$20</definedName>
    <definedName name="MaxNumberOfDisksInPool">Constants!$C$3</definedName>
    <definedName name="MPIO">AdvancedDesign!$AB$21</definedName>
    <definedName name="PoolCapacityRawTotalInTiB">Calculations!$H$21</definedName>
    <definedName name="PoolCapacityTotalNetInTiB">Calculations!$H$37</definedName>
    <definedName name="PoolCountMax">Calculations!$H$11</definedName>
    <definedName name="PoolCountMin">Calculations!$H$10</definedName>
    <definedName name="QuickDesignTemplateName">QuickDesign!$I$22</definedName>
    <definedName name="RawCapacityInTB">AdvancedDesign!$J$42</definedName>
    <definedName name="SlabSizeInGiB">Constants!$C$8</definedName>
    <definedName name="SofsCount">AdvancedDesign!$AB$20</definedName>
    <definedName name="SolutionTemplateName">AdvancedDesign!$AB$13</definedName>
    <definedName name="SpacesMetadataOverheadinGiB">Constants!$C$7</definedName>
    <definedName name="SpacesModel">AdvancedDesign!$P$22</definedName>
    <definedName name="SsdBackupPercentage">AdvancedDesign!$J$29</definedName>
    <definedName name="SsdHddRatio">AdvancedDesign!$AL$25</definedName>
    <definedName name="SsdRebuildPerPool">AdvancedDesign!$AB$24</definedName>
    <definedName name="SsdReserveCapacity">Calculations!$H$23</definedName>
    <definedName name="SsdSizeInGB">AdvancedDesign!$AL$24</definedName>
    <definedName name="SsdsReservedForBackup">Calculations!$H$9</definedName>
    <definedName name="StorageLayout">AdvancedDesign!$AB$27</definedName>
    <definedName name="StorageLifeInYears">AdvancedDesign!$J$26</definedName>
    <definedName name="SymmetricalHddCount">Calculations!$D$22</definedName>
    <definedName name="SymmetricalSsdCount">Calculations!$D$23</definedName>
    <definedName name="TargetMaxColumnCount">Calculations!$R$21</definedName>
    <definedName name="TargetMaxDataCopies">Calculations!$R$13</definedName>
    <definedName name="TargetMaxDisksPerPool">Calculations!$K$15</definedName>
    <definedName name="TargetMaxPoolCount">Calculations!$K$12</definedName>
    <definedName name="TargetMaxSsdCapacityPercentage">Calculations!$K$41</definedName>
    <definedName name="TargetMaxVdSizeInTiB">Calculations!$R$17</definedName>
    <definedName name="TargetMaxWbcInGiB">Calculations!$R$14</definedName>
    <definedName name="TargetMinColumnCount">Calculations!$Q$21</definedName>
    <definedName name="TargetMinDataCopies">Calculations!$Q$13</definedName>
    <definedName name="TargetMinDisksPerPool">Calculations!$J$15</definedName>
    <definedName name="TargetMinPoolCount">Calculations!$J$12</definedName>
    <definedName name="TargetMinSsdCapacityPercentage">Calculations!$J$41</definedName>
    <definedName name="TargetMinWbcInGiB">Calculations!$Q$14</definedName>
    <definedName name="TargetWorkloadResiliency">Calculations!$P$12</definedName>
    <definedName name="TBtoTiB">Constants!$C$4</definedName>
    <definedName name="VirtualDiskSizeInPoolWithQuorumInTiB">Calculations!$O$17</definedName>
    <definedName name="VirtualDisksPerSofs">AdvancedDesign!$AB$29</definedName>
    <definedName name="WbcSizeInGiB">Calculations!$O$14</definedName>
    <definedName name="Workload">AdvancedDesign!$J$20</definedName>
    <definedName name="WorkloadBaselineIops">AdvancedDesign!$J$22</definedName>
    <definedName name="WorkloadExpansionPercentage">AdvancedDesign!$J$25</definedName>
    <definedName name="WorkloadInitialCapacityInTB">AdvancedDesign!$J$24</definedName>
    <definedName name="WorkloadIntialCapacity">AdvancedDesign!$J$24</definedName>
    <definedName name="WorkloadPeakIops">AdvancedDesign!$J$21</definedName>
    <definedName name="WorkloadPoolCount">AdvancedDesign!$AB$23</definedName>
    <definedName name="WorkloadWorkingIoSetSizeInGB">AdvancedDesign!$J$23</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15" i="3" l="1"/>
  <c r="D8" i="3"/>
  <c r="D13" i="3"/>
  <c r="D11" i="3" l="1"/>
  <c r="D10" i="3"/>
  <c r="D7" i="3"/>
  <c r="D15" i="3"/>
  <c r="J37" i="5" l="1"/>
  <c r="J36" i="5"/>
  <c r="J35" i="5"/>
  <c r="O11" i="3" l="1"/>
  <c r="O10" i="3"/>
  <c r="N27" i="1"/>
  <c r="S50" i="1"/>
  <c r="S45" i="1"/>
  <c r="S38" i="5" s="1"/>
  <c r="S40" i="1"/>
  <c r="S34" i="5" s="1"/>
  <c r="G38" i="1"/>
  <c r="G31" i="5" s="1"/>
  <c r="J27" i="1" l="1"/>
  <c r="D6" i="3" s="1"/>
  <c r="D9" i="3" s="1"/>
  <c r="R20" i="3"/>
  <c r="O13" i="3" l="1"/>
  <c r="O12" i="3"/>
  <c r="H12" i="3" l="1"/>
  <c r="C5" i="4" l="1"/>
  <c r="H27" i="3" s="1"/>
  <c r="C4" i="4"/>
  <c r="H26" i="3" s="1"/>
  <c r="D18" i="3" l="1"/>
  <c r="L60" i="2"/>
  <c r="F64" i="2" l="1"/>
  <c r="K62" i="2"/>
  <c r="F62" i="2"/>
  <c r="K61" i="2"/>
  <c r="K60" i="2"/>
  <c r="D12" i="3" l="1"/>
  <c r="D14" i="3" s="1"/>
  <c r="D16" i="3" l="1"/>
  <c r="D17" i="3" s="1"/>
  <c r="D19" i="3" l="1"/>
  <c r="D20" i="3" l="1"/>
  <c r="D22" i="3" s="1"/>
  <c r="D21" i="3"/>
  <c r="D23" i="3" s="1"/>
  <c r="J38" i="1"/>
  <c r="H11" i="3"/>
  <c r="K12" i="3" s="1"/>
  <c r="J47" i="1" l="1"/>
  <c r="J41" i="5"/>
  <c r="J31" i="5"/>
  <c r="H25" i="3"/>
  <c r="H23" i="3" s="1"/>
  <c r="S44" i="1" s="1"/>
  <c r="S36" i="5" s="1"/>
  <c r="H24" i="3"/>
  <c r="H22" i="3" s="1"/>
  <c r="S43" i="1" s="1"/>
  <c r="S35" i="5" s="1"/>
  <c r="D24" i="3"/>
  <c r="O25" i="3"/>
  <c r="D25" i="3" l="1"/>
  <c r="D27" i="3" s="1"/>
  <c r="H31" i="3"/>
  <c r="H30" i="3"/>
  <c r="D29" i="3" l="1"/>
  <c r="D26" i="3"/>
  <c r="D30" i="3" s="1"/>
  <c r="J49" i="1" l="1"/>
  <c r="H7" i="3" s="1"/>
  <c r="H9" i="3" s="1"/>
  <c r="H14" i="3" s="1"/>
  <c r="J48" i="1"/>
  <c r="H6" i="3" s="1"/>
  <c r="H8" i="3" s="1"/>
  <c r="D28" i="3"/>
  <c r="J43" i="5" l="1"/>
  <c r="J50" i="1"/>
  <c r="J44" i="5" s="1"/>
  <c r="J42" i="5"/>
  <c r="J43" i="1"/>
  <c r="H13" i="3"/>
  <c r="H39" i="3" s="1"/>
  <c r="H10" i="3"/>
  <c r="J12" i="3" s="1"/>
  <c r="H19" i="3"/>
  <c r="H33" i="3" s="1"/>
  <c r="H36" i="3" s="1"/>
  <c r="H17" i="3"/>
  <c r="S42" i="1" s="1"/>
  <c r="H38" i="3" l="1"/>
  <c r="H29" i="3"/>
  <c r="H16" i="3"/>
  <c r="S41" i="1" s="1"/>
  <c r="H18" i="3"/>
  <c r="O24" i="3"/>
  <c r="H15" i="3"/>
  <c r="O26" i="3" s="1"/>
  <c r="O23" i="3"/>
  <c r="H32" i="3" l="1"/>
  <c r="H40" i="3"/>
  <c r="H28" i="3"/>
  <c r="H20" i="3"/>
  <c r="H21" i="3" s="1"/>
  <c r="J42" i="1" s="1"/>
  <c r="H41" i="3"/>
  <c r="O22" i="3"/>
  <c r="O27" i="3" l="1"/>
  <c r="O21" i="3" s="1"/>
  <c r="J44" i="1"/>
  <c r="J39" i="5"/>
  <c r="H35" i="3"/>
  <c r="H37" i="3" s="1"/>
  <c r="H34" i="3"/>
  <c r="S49" i="1" l="1"/>
  <c r="S42" i="5" s="1"/>
  <c r="O18" i="3"/>
  <c r="O15" i="3"/>
  <c r="O19" i="3"/>
  <c r="O16" i="3"/>
  <c r="S48" i="1" s="1"/>
  <c r="S41" i="5" s="1"/>
  <c r="O20" i="3" l="1"/>
  <c r="S47" i="1"/>
  <c r="S40" i="5" s="1"/>
  <c r="O17" i="3"/>
  <c r="J45" i="1" s="1"/>
  <c r="S46" i="1" l="1"/>
  <c r="S39" i="5" s="1"/>
  <c r="J40" i="5"/>
</calcChain>
</file>

<file path=xl/comments1.xml><?xml version="1.0" encoding="utf-8"?>
<comments xmlns="http://schemas.openxmlformats.org/spreadsheetml/2006/main">
  <authors>
    <author>Joshua Adams</author>
  </authors>
  <commentList>
    <comment ref="E26" authorId="0" shapeId="0">
      <text>
        <r>
          <rPr>
            <sz val="9"/>
            <color indexed="81"/>
            <rFont val="Tahoma"/>
            <family val="2"/>
          </rPr>
          <t xml:space="preserve">Configurable options are available in the </t>
        </r>
        <r>
          <rPr>
            <b/>
            <sz val="9"/>
            <color indexed="81"/>
            <rFont val="Tahoma"/>
            <family val="2"/>
          </rPr>
          <t>AdvancedDesign</t>
        </r>
        <r>
          <rPr>
            <sz val="9"/>
            <color indexed="81"/>
            <rFont val="Tahoma"/>
            <family val="2"/>
          </rPr>
          <t xml:space="preserve"> tab</t>
        </r>
      </text>
    </comment>
  </commentList>
</comments>
</file>

<file path=xl/comments2.xml><?xml version="1.0" encoding="utf-8"?>
<comments xmlns="http://schemas.openxmlformats.org/spreadsheetml/2006/main">
  <authors>
    <author>Joshua Adams</author>
  </authors>
  <commentList>
    <comment ref="X24" authorId="0" shapeId="0">
      <text>
        <r>
          <rPr>
            <sz val="9"/>
            <color indexed="81"/>
            <rFont val="Tahoma"/>
            <family val="2"/>
          </rPr>
          <t>How many SSD failures per pool do you want to automatically repair without replacing disks? 
Increasing this number sets aside pool capacity for repairing affected virtual disks after an SSD failure.</t>
        </r>
      </text>
    </comment>
    <comment ref="X25" authorId="0" shapeId="0">
      <text>
        <r>
          <rPr>
            <sz val="9"/>
            <color indexed="81"/>
            <rFont val="Tahoma"/>
            <family val="2"/>
          </rPr>
          <t xml:space="preserve">How many HDD failures per pool do you want to automatically repair without replacing disks? 
Increasing this number sets aside pool capacity for repairing affected virtual disks after an HDD failure.
</t>
        </r>
      </text>
    </comment>
    <comment ref="E43" authorId="0" shapeId="0">
      <text>
        <r>
          <rPr>
            <sz val="9"/>
            <color indexed="81"/>
            <rFont val="Tahoma"/>
            <family val="2"/>
          </rPr>
          <t xml:space="preserve">Backup pool designs aren't calculated
</t>
        </r>
      </text>
    </comment>
    <comment ref="O46" authorId="0" shapeId="0">
      <text>
        <r>
          <rPr>
            <sz val="9"/>
            <color indexed="81"/>
            <rFont val="Tahoma"/>
            <family val="2"/>
          </rPr>
          <t>Will be highlighted yellow if above the recommended limit. To fix this, increase the virtual disks per node.</t>
        </r>
      </text>
    </comment>
  </commentList>
</comments>
</file>

<file path=xl/comments3.xml><?xml version="1.0" encoding="utf-8"?>
<comments xmlns="http://schemas.openxmlformats.org/spreadsheetml/2006/main">
  <authors>
    <author>Joshua Adams</author>
  </authors>
  <commentList>
    <comment ref="G32" authorId="0" shapeId="0">
      <text>
        <r>
          <rPr>
            <sz val="9"/>
            <color indexed="81"/>
            <rFont val="Tahoma"/>
            <family val="2"/>
          </rPr>
          <t>Factors in the drive holdbacks and metadata overhead.</t>
        </r>
      </text>
    </comment>
    <comment ref="G33" authorId="0" shapeId="0">
      <text>
        <r>
          <rPr>
            <sz val="9"/>
            <color indexed="81"/>
            <rFont val="Tahoma"/>
            <family val="2"/>
          </rPr>
          <t>Factors in the drive holdbacks and metadata overhead.</t>
        </r>
      </text>
    </comment>
    <comment ref="G34" authorId="0" shapeId="0">
      <text>
        <r>
          <rPr>
            <sz val="9"/>
            <color indexed="81"/>
            <rFont val="Tahoma"/>
            <family val="2"/>
          </rPr>
          <t>Factors in the drive holdbacks and metadata overhead.</t>
        </r>
      </text>
    </comment>
  </commentList>
</comments>
</file>

<file path=xl/sharedStrings.xml><?xml version="1.0" encoding="utf-8"?>
<sst xmlns="http://schemas.openxmlformats.org/spreadsheetml/2006/main" count="600" uniqueCount="303">
  <si>
    <t>Description</t>
  </si>
  <si>
    <t>Workload</t>
  </si>
  <si>
    <t>Workloads</t>
  </si>
  <si>
    <t>Configuration</t>
  </si>
  <si>
    <t>Category</t>
  </si>
  <si>
    <t>HDD Size (TB)</t>
  </si>
  <si>
    <t>SSD Size (GB)</t>
  </si>
  <si>
    <t>Dual Parity</t>
  </si>
  <si>
    <t>2-Way Mirror</t>
  </si>
  <si>
    <t>3-Way Mirror</t>
  </si>
  <si>
    <t>IO Operation</t>
  </si>
  <si>
    <t>Random</t>
  </si>
  <si>
    <t>IO Operations</t>
  </si>
  <si>
    <t>Sequential</t>
  </si>
  <si>
    <t>Block Size (K)</t>
  </si>
  <si>
    <t>Write %</t>
  </si>
  <si>
    <t>Load generated by HyperV clients</t>
  </si>
  <si>
    <t>Disaggregated</t>
  </si>
  <si>
    <t>Architecture</t>
  </si>
  <si>
    <t>Windows Server 2012 R2 + Updates</t>
  </si>
  <si>
    <t>Spaces Model</t>
  </si>
  <si>
    <t>Shared SAS</t>
  </si>
  <si>
    <t>Minimum Software Version</t>
  </si>
  <si>
    <t>SOFS Node Count</t>
  </si>
  <si>
    <t>MinSofsCount</t>
  </si>
  <si>
    <t>MaxSofsCount</t>
  </si>
  <si>
    <t>x</t>
  </si>
  <si>
    <t>Minimum Required Software</t>
  </si>
  <si>
    <t>YesNo</t>
  </si>
  <si>
    <t>Yes</t>
  </si>
  <si>
    <t>No</t>
  </si>
  <si>
    <t>MPIO</t>
  </si>
  <si>
    <t>Disks</t>
  </si>
  <si>
    <t>JBOD</t>
  </si>
  <si>
    <t>Hardware Configuration</t>
  </si>
  <si>
    <t>Count (capacity-based)</t>
  </si>
  <si>
    <t>Count (perf-based)</t>
  </si>
  <si>
    <t>Resiliency Name</t>
  </si>
  <si>
    <t>Resiliency Type</t>
  </si>
  <si>
    <t>Physical Disk Redundancy</t>
  </si>
  <si>
    <t>NumberOfDataCopies</t>
  </si>
  <si>
    <t>Resiliancy Overhead</t>
  </si>
  <si>
    <t>Minimum number of columns</t>
  </si>
  <si>
    <t>Column-to-disk correlation</t>
  </si>
  <si>
    <t>Maximum column count </t>
  </si>
  <si>
    <t>Simple</t>
  </si>
  <si>
    <t>1:1</t>
  </si>
  <si>
    <t>Mirror</t>
  </si>
  <si>
    <t>1:2</t>
  </si>
  <si>
    <t>1:3</t>
  </si>
  <si>
    <t>Single Parity</t>
  </si>
  <si>
    <t>Parity</t>
  </si>
  <si>
    <t> 7</t>
  </si>
  <si>
    <t>Simple (No Resiliency)</t>
  </si>
  <si>
    <t>Value</t>
  </si>
  <si>
    <t>Item</t>
  </si>
  <si>
    <t>Write Penalty</t>
  </si>
  <si>
    <t>SSD</t>
  </si>
  <si>
    <t>HDD</t>
  </si>
  <si>
    <t>SsdDiskIops</t>
  </si>
  <si>
    <t>HddDiskIops</t>
  </si>
  <si>
    <t>Count (max)</t>
  </si>
  <si>
    <t>Count (EA-based)</t>
  </si>
  <si>
    <t>Minimum JBOD Count for EA</t>
  </si>
  <si>
    <t>IopsPeak</t>
  </si>
  <si>
    <t>IopsBaseline</t>
  </si>
  <si>
    <t>WorkloadWorkingSetSizeinGB</t>
  </si>
  <si>
    <t>WorkloadSizeInTB</t>
  </si>
  <si>
    <t>CapacityExpansionPercentage</t>
  </si>
  <si>
    <t>SpacesModel</t>
  </si>
  <si>
    <t>StorageLayout</t>
  </si>
  <si>
    <t>EA</t>
  </si>
  <si>
    <t>HddSizeInTB</t>
  </si>
  <si>
    <t>SsdSizeInGB</t>
  </si>
  <si>
    <t>JbodSlots</t>
  </si>
  <si>
    <t>SofsCount</t>
  </si>
  <si>
    <t>Empty Slots</t>
  </si>
  <si>
    <t>Count (ratio-based)</t>
  </si>
  <si>
    <t>Count (drive-based)</t>
  </si>
  <si>
    <t>Hardware Design</t>
  </si>
  <si>
    <t>Count (min)</t>
  </si>
  <si>
    <t>MaxNumberOfDisksInPool</t>
  </si>
  <si>
    <t>HDDs/Pool/JBOD</t>
  </si>
  <si>
    <t>SSDs/Pool/JBOD</t>
  </si>
  <si>
    <t>Count (selected)</t>
  </si>
  <si>
    <t>SsdHddRatio</t>
  </si>
  <si>
    <t>FillEmptySlots</t>
  </si>
  <si>
    <t>VirtualDisksPerSofs</t>
  </si>
  <si>
    <t>Column Count</t>
  </si>
  <si>
    <t>-</t>
  </si>
  <si>
    <t>SsdRebuildPerPool</t>
  </si>
  <si>
    <t>HddRebuildPerPool</t>
  </si>
  <si>
    <t>HDDs/Pool</t>
  </si>
  <si>
    <t>SSDs/Pool</t>
  </si>
  <si>
    <t>Disks/Pool</t>
  </si>
  <si>
    <t>Raw HDD Capacity/Pool (TiB)</t>
  </si>
  <si>
    <t>Raw SSD Capacity/Pool (TiB)</t>
  </si>
  <si>
    <t>Raw Total Capacity/Pool (TiB)</t>
  </si>
  <si>
    <t>TBtoTiB</t>
  </si>
  <si>
    <t>Repair Policy</t>
  </si>
  <si>
    <t>Parallel</t>
  </si>
  <si>
    <t>Always</t>
  </si>
  <si>
    <t>IsPowerProtected</t>
  </si>
  <si>
    <t>FastRebuildOverheadInGiB</t>
  </si>
  <si>
    <t>GBtoGiB</t>
  </si>
  <si>
    <t>SSD Tier Size (GiB)</t>
  </si>
  <si>
    <t>HDD Holdback %/Pool</t>
  </si>
  <si>
    <t>SSD Holdback %/Pool</t>
  </si>
  <si>
    <t>Net HDD Capacity/Pool (TiB)</t>
  </si>
  <si>
    <t>Net SSD Capacity/Pool (TiB)</t>
  </si>
  <si>
    <t>Net Total Capacity/Pool (TiB)</t>
  </si>
  <si>
    <t>HDD Count %/Pool</t>
  </si>
  <si>
    <t>SSD Count %/Pool</t>
  </si>
  <si>
    <t>HDD Capacity %/Pool</t>
  </si>
  <si>
    <t>SSD Capacity %/Pool</t>
  </si>
  <si>
    <t>SpacesMetadataOverheadinGiB</t>
  </si>
  <si>
    <t>Net Total Capacity (TiB)</t>
  </si>
  <si>
    <t>HDD Reserve Capacity / Pool (TiB)</t>
  </si>
  <si>
    <t>SSD Reserve Capacity / Pool (TiB)</t>
  </si>
  <si>
    <t>Raw Total Capacity (TiB)</t>
  </si>
  <si>
    <t>Target</t>
  </si>
  <si>
    <t>TargetMin</t>
  </si>
  <si>
    <t>TargetMax</t>
  </si>
  <si>
    <t>Workload Recommendations</t>
  </si>
  <si>
    <t>Resiliency</t>
  </si>
  <si>
    <t>Data Copies</t>
  </si>
  <si>
    <t>HDD Tier Size (GiB)</t>
  </si>
  <si>
    <t>WorkloadPoolCount</t>
  </si>
  <si>
    <t>Workload Pool Configuration</t>
  </si>
  <si>
    <t>Quorum</t>
  </si>
  <si>
    <t>HDD Tier Size w/o Quorum (TiB)</t>
  </si>
  <si>
    <t>SSD Tier Size w/o Quorum (TiB)</t>
  </si>
  <si>
    <t>SSD Tier Size w/ Quorum (TiB)</t>
  </si>
  <si>
    <t>HDD Tier Size w/ Quorum (TiB)</t>
  </si>
  <si>
    <t>VD Size w/Quorum (TiB)</t>
  </si>
  <si>
    <t>VD Size w/o Quorum (TiB)</t>
  </si>
  <si>
    <t>HDDs Reserved (Rounded)</t>
  </si>
  <si>
    <t>SSDs Reserved (Rounded)</t>
  </si>
  <si>
    <t>HDD Holdback Count/Pool</t>
  </si>
  <si>
    <t>SSD Holdback Count/Pool</t>
  </si>
  <si>
    <t>Partition Style</t>
  </si>
  <si>
    <t>File System</t>
  </si>
  <si>
    <t>Cluster Size (K)</t>
  </si>
  <si>
    <t>Deduplication</t>
  </si>
  <si>
    <t>UNMAP (Trim)</t>
  </si>
  <si>
    <t>Disabled</t>
  </si>
  <si>
    <t>GPT</t>
  </si>
  <si>
    <t>NTFS</t>
  </si>
  <si>
    <t>UseLargeFRS</t>
  </si>
  <si>
    <t>DisableHeatGathering</t>
  </si>
  <si>
    <t>Virtual Disk Configuration</t>
  </si>
  <si>
    <t>DiskCache</t>
  </si>
  <si>
    <t>MPIO: HDD</t>
  </si>
  <si>
    <t>MPIO: SSD</t>
  </si>
  <si>
    <t>RR</t>
  </si>
  <si>
    <t>LB</t>
  </si>
  <si>
    <t>SlotCount</t>
  </si>
  <si>
    <t>RowCount</t>
  </si>
  <si>
    <t>EstimatedOverhead</t>
  </si>
  <si>
    <t>Template</t>
  </si>
  <si>
    <t>Enabled</t>
  </si>
  <si>
    <t xml:space="preserve">  Column Count Reduction</t>
  </si>
  <si>
    <t>Physical Sector Size (K)</t>
  </si>
  <si>
    <t>Logical Sector Size (K)</t>
  </si>
  <si>
    <t>Logical Sector Size</t>
  </si>
  <si>
    <t>Write-Back Cache (GiB)</t>
  </si>
  <si>
    <t>WbcSizeInGiB</t>
  </si>
  <si>
    <t>Enclosures</t>
  </si>
  <si>
    <t>Cluster</t>
  </si>
  <si>
    <t>Pool</t>
  </si>
  <si>
    <t>Layout</t>
  </si>
  <si>
    <t>Role</t>
  </si>
  <si>
    <t>Performance</t>
  </si>
  <si>
    <t>Peak IOPS</t>
  </si>
  <si>
    <t>Baseline IOPS</t>
  </si>
  <si>
    <t xml:space="preserve">    Mirror w/ EA</t>
  </si>
  <si>
    <t xml:space="preserve">    Mirror w/o EA</t>
  </si>
  <si>
    <t xml:space="preserve">    Parity w/ EA</t>
  </si>
  <si>
    <t xml:space="preserve">    Parity w/o EA</t>
  </si>
  <si>
    <t>StorageLifeInYears</t>
  </si>
  <si>
    <t xml:space="preserve">  Column Count (max)</t>
  </si>
  <si>
    <t>HDDs Reserved for Backup</t>
  </si>
  <si>
    <t>SSDs Reserved for Backup</t>
  </si>
  <si>
    <t xml:space="preserve">  HDD Reserve w/ EA (TiB)</t>
  </si>
  <si>
    <t xml:space="preserve">  SSD Reserve w/ EA (TiB)</t>
  </si>
  <si>
    <t xml:space="preserve">  HDD Reserve w/o EA (TiB)</t>
  </si>
  <si>
    <t xml:space="preserve">  SSD Reserve w/o EA (TiB)</t>
  </si>
  <si>
    <t>Net Total HDD Capacity (TiB)</t>
  </si>
  <si>
    <t>Net Total SSD Capacity (TiB)</t>
  </si>
  <si>
    <t>LogicalSectorSize Consistent</t>
  </si>
  <si>
    <t>HddBackupPercentage</t>
  </si>
  <si>
    <t>SsdBackupPercentage</t>
  </si>
  <si>
    <t>Columns</t>
  </si>
  <si>
    <t>Nodes</t>
  </si>
  <si>
    <t>Least Blocks</t>
  </si>
  <si>
    <t>Round Robin</t>
  </si>
  <si>
    <t>RetireMissingPhysicalDisks</t>
  </si>
  <si>
    <t>Node</t>
  </si>
  <si>
    <t>Key Settings</t>
  </si>
  <si>
    <t>Applied</t>
  </si>
  <si>
    <t>Volume</t>
  </si>
  <si>
    <t>File-Delete Notification (TRIM)</t>
  </si>
  <si>
    <t>Windows Updates</t>
  </si>
  <si>
    <t>Monthly</t>
  </si>
  <si>
    <t>Write-back cache (GiB)</t>
  </si>
  <si>
    <t>Storage Spaces registry changes</t>
  </si>
  <si>
    <t>MPIO policy (Global)</t>
  </si>
  <si>
    <t>MPIO policy (SSDs)</t>
  </si>
  <si>
    <t>Physical disk caches</t>
  </si>
  <si>
    <t>Raw workload capacity (TB)</t>
  </si>
  <si>
    <t>Raw backup capacity (TB)</t>
  </si>
  <si>
    <t>Raw total capacity (TB)</t>
  </si>
  <si>
    <t>Resilient workload capacity (TB)</t>
  </si>
  <si>
    <t>SSD capacity</t>
  </si>
  <si>
    <t>HDD capacity</t>
  </si>
  <si>
    <t>Design size (TB)</t>
  </si>
  <si>
    <t>Storage life (years)</t>
  </si>
  <si>
    <t>Yearly growth</t>
  </si>
  <si>
    <t>Current size (TB)</t>
  </si>
  <si>
    <t>Active data (GB)</t>
  </si>
  <si>
    <t>Enclosure awareness</t>
  </si>
  <si>
    <t>Node count</t>
  </si>
  <si>
    <t>Workload pools</t>
  </si>
  <si>
    <t>SSDs  to repair</t>
  </si>
  <si>
    <t>HDDs to repair</t>
  </si>
  <si>
    <t>SSD/HDD ratio</t>
  </si>
  <si>
    <t>Fill all slots</t>
  </si>
  <si>
    <t>HDD size (TB)</t>
  </si>
  <si>
    <t>SSD size (GB)</t>
  </si>
  <si>
    <t>Determine storage requirements</t>
  </si>
  <si>
    <r>
      <rPr>
        <b/>
        <sz val="14"/>
        <color theme="0"/>
        <rFont val="Calibri"/>
        <family val="2"/>
        <scheme val="minor"/>
      </rPr>
      <t>Step 1.2</t>
    </r>
    <r>
      <rPr>
        <sz val="14"/>
        <color theme="0"/>
        <rFont val="Calibri"/>
        <family val="2"/>
        <scheme val="minor"/>
      </rPr>
      <t>: Customize the solution</t>
    </r>
  </si>
  <si>
    <r>
      <rPr>
        <b/>
        <sz val="14"/>
        <color theme="0"/>
        <rFont val="Calibri"/>
        <family val="2"/>
        <scheme val="minor"/>
      </rPr>
      <t>Step 1.1</t>
    </r>
    <r>
      <rPr>
        <sz val="14"/>
        <color theme="0"/>
        <rFont val="Calibri"/>
        <family val="2"/>
        <scheme val="minor"/>
      </rPr>
      <t>: Select a template</t>
    </r>
  </si>
  <si>
    <r>
      <t>Download the latest version (</t>
    </r>
    <r>
      <rPr>
        <sz val="14"/>
        <color theme="3" tint="-0.499984740745262"/>
        <rFont val="Calibri"/>
        <family val="2"/>
        <scheme val="minor"/>
      </rPr>
      <t>http://aka.ms/sdscalc</t>
    </r>
    <r>
      <rPr>
        <sz val="14"/>
        <color theme="0"/>
        <rFont val="Calibri"/>
        <family val="2"/>
        <scheme val="minor"/>
      </rPr>
      <t>)
Review the latest guidance (</t>
    </r>
    <r>
      <rPr>
        <sz val="14"/>
        <color theme="3" tint="-0.499984740745262"/>
        <rFont val="Calibri"/>
        <family val="2"/>
        <scheme val="minor"/>
      </rPr>
      <t>http://aka.ms/sds</t>
    </r>
    <r>
      <rPr>
        <sz val="14"/>
        <color theme="0"/>
        <rFont val="Calibri"/>
        <family val="2"/>
        <scheme val="minor"/>
      </rPr>
      <t>)</t>
    </r>
  </si>
  <si>
    <r>
      <rPr>
        <b/>
        <sz val="11"/>
        <color theme="0"/>
        <rFont val="Calibri"/>
        <family val="2"/>
        <scheme val="minor"/>
      </rPr>
      <t>Task 1</t>
    </r>
    <r>
      <rPr>
        <sz val="11"/>
        <color theme="0"/>
        <rFont val="Calibri"/>
        <family val="2"/>
        <scheme val="minor"/>
      </rPr>
      <t>: Describe the workload</t>
    </r>
  </si>
  <si>
    <r>
      <rPr>
        <b/>
        <sz val="11"/>
        <color theme="0"/>
        <rFont val="Calibri"/>
        <family val="2"/>
        <scheme val="minor"/>
      </rPr>
      <t>Task 2</t>
    </r>
    <r>
      <rPr>
        <sz val="11"/>
        <color theme="0"/>
        <rFont val="Calibri"/>
        <family val="2"/>
        <scheme val="minor"/>
      </rPr>
      <t>: Select a storage architecture</t>
    </r>
  </si>
  <si>
    <r>
      <rPr>
        <b/>
        <sz val="11"/>
        <color theme="0"/>
        <rFont val="Calibri"/>
        <family val="2"/>
        <scheme val="minor"/>
      </rPr>
      <t>Task 3</t>
    </r>
    <r>
      <rPr>
        <sz val="11"/>
        <color theme="0"/>
        <rFont val="Calibri"/>
        <family val="2"/>
        <scheme val="minor"/>
      </rPr>
      <t>: Design for resiliency</t>
    </r>
  </si>
  <si>
    <r>
      <rPr>
        <b/>
        <sz val="11"/>
        <color theme="0"/>
        <rFont val="Calibri"/>
        <family val="2"/>
        <scheme val="minor"/>
      </rPr>
      <t>Task 4</t>
    </r>
    <r>
      <rPr>
        <sz val="11"/>
        <color theme="0"/>
        <rFont val="Calibri"/>
        <family val="2"/>
        <scheme val="minor"/>
      </rPr>
      <t>: Select storage hardware</t>
    </r>
  </si>
  <si>
    <t>Empty slots</t>
  </si>
  <si>
    <t>SSD count</t>
  </si>
  <si>
    <t>HDD count</t>
  </si>
  <si>
    <t>Work with a Storage Spaces hardware vendor to finalize the design</t>
  </si>
  <si>
    <t>Disk slots</t>
  </si>
  <si>
    <t>HDDs/pool/enclosure</t>
  </si>
  <si>
    <t>SSDs/pool/enclosure</t>
  </si>
  <si>
    <t>HDD repair capacity/pool (TiB)</t>
  </si>
  <si>
    <t>SSD repair capacity/pool (TiB)</t>
  </si>
  <si>
    <t xml:space="preserve">    HDD tier size (TiB)</t>
  </si>
  <si>
    <t>2 cluster nodes and 2 storage enclosures serving as a dissaggregated storage target for Hyper-V clients</t>
  </si>
  <si>
    <t>3 cluster nodes and 3 storage enclosures serving as a dissaggregated storage target for Hyper-V clients</t>
  </si>
  <si>
    <t>4 cluster nodes and 4 storage enclosures serving as a dissaggregated storage target for Hyper-V clients</t>
  </si>
  <si>
    <t>2 nodes x 2 enclosures for dissaggregated Hyper-V workloads</t>
  </si>
  <si>
    <t>3 nodes x 3 enclosures for dissaggregated Hyper-V workloads</t>
  </si>
  <si>
    <t>4 nodes x 4 enclosures for dissaggregated Hyper-V workloads</t>
  </si>
  <si>
    <t>Hyper-V</t>
  </si>
  <si>
    <t xml:space="preserve">    SSD tier size (TiB)</t>
  </si>
  <si>
    <t xml:space="preserve"> Storage Spaces Design</t>
  </si>
  <si>
    <t>Virtual disks</t>
  </si>
  <si>
    <t>Storage tiers</t>
  </si>
  <si>
    <t>Storage model</t>
  </si>
  <si>
    <t>Backup reserve</t>
  </si>
  <si>
    <t>Virtual disk</t>
  </si>
  <si>
    <t>Data size</t>
  </si>
  <si>
    <t>Virtual disks/node</t>
  </si>
  <si>
    <t>HDD Size on Pool (GiB)</t>
  </si>
  <si>
    <t>SSD Size on Pool (GiB)</t>
  </si>
  <si>
    <t>SlabSizeInGiB</t>
  </si>
  <si>
    <t>Constant</t>
  </si>
  <si>
    <t>Select a template</t>
  </si>
  <si>
    <t>Workload details</t>
  </si>
  <si>
    <t xml:space="preserve">    Workload Type</t>
  </si>
  <si>
    <t xml:space="preserve">    Peak IOPS</t>
  </si>
  <si>
    <t xml:space="preserve">    Baseline IOPS</t>
  </si>
  <si>
    <t>Hardware details</t>
  </si>
  <si>
    <t xml:space="preserve">    Raw workload capacity (TB)</t>
  </si>
  <si>
    <t xml:space="preserve">    Resilient workload capacity (TB)</t>
  </si>
  <si>
    <t xml:space="preserve">    HDD count</t>
  </si>
  <si>
    <t xml:space="preserve">    SSD count</t>
  </si>
  <si>
    <t xml:space="preserve">    Empty slots</t>
  </si>
  <si>
    <r>
      <t>Prepare to deploy the solution  (</t>
    </r>
    <r>
      <rPr>
        <sz val="14"/>
        <color theme="3" tint="-0.499984740745262"/>
        <rFont val="Calibri"/>
        <family val="2"/>
        <scheme val="minor"/>
      </rPr>
      <t>http://aka.ms/sds</t>
    </r>
    <r>
      <rPr>
        <sz val="14"/>
        <color theme="0"/>
        <rFont val="Calibri"/>
        <family val="2"/>
        <scheme val="minor"/>
      </rPr>
      <t>)</t>
    </r>
  </si>
  <si>
    <r>
      <t>Prepare to deploy the solution (</t>
    </r>
    <r>
      <rPr>
        <sz val="14"/>
        <color theme="3" tint="-0.499984740745262"/>
        <rFont val="Calibri"/>
        <family val="2"/>
        <scheme val="minor"/>
      </rPr>
      <t>http://aka.ms/sds</t>
    </r>
    <r>
      <rPr>
        <sz val="14"/>
        <color theme="0"/>
        <rFont val="Calibri"/>
        <family val="2"/>
        <scheme val="minor"/>
      </rPr>
      <t>)</t>
    </r>
  </si>
  <si>
    <t>Virtual disk size (TiB)</t>
  </si>
  <si>
    <t>Review the design</t>
  </si>
  <si>
    <t>Review the design and adjust as necessary</t>
  </si>
  <si>
    <t>Slot Count/JBOD</t>
  </si>
  <si>
    <t>Total Slots Required</t>
  </si>
  <si>
    <t>Count (resiliency-based)</t>
  </si>
  <si>
    <t>Extra SSDs for Symmetry</t>
  </si>
  <si>
    <t>Extra HDDs for Symmetry</t>
  </si>
  <si>
    <t>Filled HDD Count</t>
  </si>
  <si>
    <t>Filled SSD Count</t>
  </si>
  <si>
    <t>Symmetrical HDD Count</t>
  </si>
  <si>
    <t>Symmetrical SSD Count</t>
  </si>
  <si>
    <t>Final HDD Count</t>
  </si>
  <si>
    <t>Final SSD Count</t>
  </si>
  <si>
    <t xml:space="preserve">  Empty HDD Slots</t>
  </si>
  <si>
    <t xml:space="preserve">  Empty SSD Slots</t>
  </si>
  <si>
    <t>2 nodes x 1 enclosure for dissaggregated Hyper-V workloads</t>
  </si>
  <si>
    <t>2 cluster nodes and 1 storage enclosure serving as a dissaggregated storage target for Hyper-V clients</t>
  </si>
  <si>
    <t>Enclosure count</t>
  </si>
  <si>
    <t xml:space="preserve">    Enclosure count</t>
  </si>
  <si>
    <t>Minimum number of disks in the pool</t>
  </si>
  <si>
    <t>SupportedResiliancyTypes</t>
  </si>
  <si>
    <r>
      <t xml:space="preserve">Software-Defined Storage Design Calculator </t>
    </r>
    <r>
      <rPr>
        <sz val="10"/>
        <color theme="0"/>
        <rFont val="Calibri"/>
        <family val="2"/>
        <scheme val="minor"/>
      </rPr>
      <t xml:space="preserve">v1.1
</t>
    </r>
    <r>
      <rPr>
        <i/>
        <sz val="10"/>
        <color theme="0"/>
        <rFont val="Calibri"/>
        <family val="2"/>
        <scheme val="minor"/>
      </rPr>
      <t>Providing insights into design and function</t>
    </r>
  </si>
</sst>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3" formatCode="_(* #,##0.00_);_(* \(#,##0.00\);_(* &quot;-&quot;??_);_(@_)"/>
    <numFmt numFmtId="164" formatCode="_(* #,##0_);_(* \(#,##0\);_(* &quot;-&quot;??_);_(@_)"/>
    <numFmt numFmtId="165" formatCode="0.0"/>
  </numFmts>
  <fonts count="31" x14ac:knownFonts="1">
    <font>
      <sz val="11"/>
      <color theme="1"/>
      <name val="Calibri"/>
      <family val="2"/>
      <scheme val="minor"/>
    </font>
    <font>
      <sz val="11"/>
      <color theme="1"/>
      <name val="Calibri"/>
      <family val="2"/>
      <scheme val="minor"/>
    </font>
    <font>
      <sz val="10"/>
      <color theme="1"/>
      <name val="Calibri"/>
      <family val="2"/>
      <scheme val="minor"/>
    </font>
    <font>
      <b/>
      <sz val="11"/>
      <color theme="0"/>
      <name val="Calibri"/>
      <family val="2"/>
      <scheme val="minor"/>
    </font>
    <font>
      <sz val="11"/>
      <color theme="0"/>
      <name val="Calibri"/>
      <family val="2"/>
      <scheme val="minor"/>
    </font>
    <font>
      <sz val="22"/>
      <color theme="0"/>
      <name val="Calibri"/>
      <family val="2"/>
      <scheme val="minor"/>
    </font>
    <font>
      <sz val="10"/>
      <color theme="0"/>
      <name val="Calibri"/>
      <family val="2"/>
      <scheme val="minor"/>
    </font>
    <font>
      <i/>
      <sz val="10"/>
      <color theme="0"/>
      <name val="Calibri"/>
      <family val="2"/>
      <scheme val="minor"/>
    </font>
    <font>
      <sz val="16"/>
      <color theme="1"/>
      <name val="Calibri"/>
      <family val="2"/>
      <scheme val="minor"/>
    </font>
    <font>
      <b/>
      <sz val="10"/>
      <color theme="1"/>
      <name val="Calibri"/>
      <family val="2"/>
      <scheme val="minor"/>
    </font>
    <font>
      <b/>
      <sz val="12"/>
      <color theme="0"/>
      <name val="Calibri"/>
      <family val="2"/>
      <scheme val="minor"/>
    </font>
    <font>
      <i/>
      <u/>
      <sz val="10"/>
      <color theme="1"/>
      <name val="Calibri"/>
      <family val="2"/>
      <scheme val="minor"/>
    </font>
    <font>
      <sz val="22"/>
      <color theme="9" tint="-0.499984740745262"/>
      <name val="Calibri"/>
      <family val="2"/>
      <scheme val="minor"/>
    </font>
    <font>
      <sz val="11"/>
      <color theme="1"/>
      <name val="Calibri"/>
      <family val="2"/>
      <scheme val="minor"/>
    </font>
    <font>
      <b/>
      <sz val="11"/>
      <color theme="0"/>
      <name val="Calibri"/>
      <family val="2"/>
      <scheme val="minor"/>
    </font>
    <font>
      <b/>
      <sz val="10"/>
      <color theme="9" tint="-0.499984740745262"/>
      <name val="Calibri"/>
      <family val="2"/>
      <scheme val="minor"/>
    </font>
    <font>
      <sz val="10"/>
      <name val="Calibri"/>
      <family val="2"/>
      <scheme val="minor"/>
    </font>
    <font>
      <sz val="11"/>
      <color rgb="FF003300"/>
      <name val="Calibri"/>
      <family val="2"/>
    </font>
    <font>
      <sz val="9"/>
      <color indexed="81"/>
      <name val="Tahoma"/>
      <family val="2"/>
    </font>
    <font>
      <b/>
      <sz val="18"/>
      <color theme="0"/>
      <name val="Calibri"/>
      <family val="2"/>
      <scheme val="minor"/>
    </font>
    <font>
      <sz val="14"/>
      <color theme="0"/>
      <name val="Calibri"/>
      <family val="2"/>
      <scheme val="minor"/>
    </font>
    <font>
      <b/>
      <sz val="14"/>
      <color theme="0"/>
      <name val="Calibri"/>
      <family val="2"/>
      <scheme val="minor"/>
    </font>
    <font>
      <b/>
      <sz val="11"/>
      <color theme="1"/>
      <name val="Calibri"/>
      <family val="2"/>
      <scheme val="minor"/>
    </font>
    <font>
      <sz val="14"/>
      <color theme="3" tint="-0.499984740745262"/>
      <name val="Calibri"/>
      <family val="2"/>
      <scheme val="minor"/>
    </font>
    <font>
      <strike/>
      <sz val="10"/>
      <color theme="1"/>
      <name val="Calibri"/>
      <family val="2"/>
      <scheme val="minor"/>
    </font>
    <font>
      <u/>
      <sz val="11"/>
      <color theme="10"/>
      <name val="Calibri"/>
      <family val="2"/>
      <scheme val="minor"/>
    </font>
    <font>
      <sz val="10"/>
      <color theme="3"/>
      <name val="Calibri"/>
      <family val="2"/>
      <scheme val="minor"/>
    </font>
    <font>
      <sz val="12"/>
      <color theme="1"/>
      <name val="Calibri"/>
      <family val="2"/>
      <scheme val="minor"/>
    </font>
    <font>
      <u/>
      <sz val="10"/>
      <color theme="4" tint="-0.249977111117893"/>
      <name val="Calibri"/>
      <family val="2"/>
      <scheme val="minor"/>
    </font>
    <font>
      <b/>
      <sz val="9"/>
      <color indexed="81"/>
      <name val="Tahoma"/>
      <family val="2"/>
    </font>
    <font>
      <sz val="10"/>
      <color theme="9" tint="-0.499984740745262"/>
      <name val="Calibri"/>
      <family val="2"/>
      <scheme val="minor"/>
    </font>
  </fonts>
  <fills count="21">
    <fill>
      <patternFill patternType="none"/>
    </fill>
    <fill>
      <patternFill patternType="gray125"/>
    </fill>
    <fill>
      <patternFill patternType="solid">
        <fgColor theme="3" tint="-0.499984740745262"/>
        <bgColor indexed="64"/>
      </patternFill>
    </fill>
    <fill>
      <patternFill patternType="solid">
        <fgColor theme="4"/>
        <bgColor indexed="64"/>
      </patternFill>
    </fill>
    <fill>
      <patternFill patternType="solid">
        <fgColor theme="4" tint="-0.499984740745262"/>
        <bgColor indexed="64"/>
      </patternFill>
    </fill>
    <fill>
      <patternFill patternType="solid">
        <fgColor theme="9" tint="-0.499984740745262"/>
        <bgColor indexed="64"/>
      </patternFill>
    </fill>
    <fill>
      <patternFill patternType="solid">
        <fgColor theme="7" tint="0.79998168889431442"/>
        <bgColor indexed="64"/>
      </patternFill>
    </fill>
    <fill>
      <patternFill patternType="solid">
        <fgColor theme="6" tint="-0.249977111117893"/>
        <bgColor indexed="64"/>
      </patternFill>
    </fill>
    <fill>
      <patternFill patternType="solid">
        <fgColor theme="7" tint="0.59999389629810485"/>
        <bgColor indexed="64"/>
      </patternFill>
    </fill>
    <fill>
      <patternFill patternType="solid">
        <fgColor theme="4"/>
        <bgColor theme="4"/>
      </patternFill>
    </fill>
    <fill>
      <patternFill patternType="solid">
        <fgColor rgb="FFFFFF99"/>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9" tint="0.39997558519241921"/>
        <bgColor indexed="64"/>
      </patternFill>
    </fill>
    <fill>
      <patternFill patternType="solid">
        <fgColor theme="3" tint="0.59999389629810485"/>
        <bgColor indexed="64"/>
      </patternFill>
    </fill>
    <fill>
      <patternFill patternType="solid">
        <fgColor theme="3"/>
        <bgColor indexed="64"/>
      </patternFill>
    </fill>
    <fill>
      <patternFill patternType="solid">
        <fgColor theme="3" tint="0.79998168889431442"/>
        <bgColor indexed="64"/>
      </patternFill>
    </fill>
  </fills>
  <borders count="52">
    <border>
      <left/>
      <right/>
      <top/>
      <bottom/>
      <diagonal/>
    </border>
    <border>
      <left style="medium">
        <color theme="4" tint="-0.499984740745262"/>
      </left>
      <right/>
      <top/>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right/>
      <top style="thin">
        <color theme="4"/>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theme="1" tint="0.499984740745262"/>
      </left>
      <right/>
      <top style="medium">
        <color theme="1" tint="0.499984740745262"/>
      </top>
      <bottom/>
      <diagonal/>
    </border>
    <border>
      <left/>
      <right/>
      <top style="medium">
        <color theme="1" tint="0.499984740745262"/>
      </top>
      <bottom/>
      <diagonal/>
    </border>
    <border>
      <left/>
      <right style="medium">
        <color theme="1" tint="0.499984740745262"/>
      </right>
      <top style="medium">
        <color theme="1" tint="0.499984740745262"/>
      </top>
      <bottom/>
      <diagonal/>
    </border>
    <border>
      <left style="medium">
        <color theme="1" tint="0.499984740745262"/>
      </left>
      <right/>
      <top/>
      <bottom/>
      <diagonal/>
    </border>
    <border>
      <left/>
      <right style="medium">
        <color theme="1" tint="0.499984740745262"/>
      </right>
      <top/>
      <bottom/>
      <diagonal/>
    </border>
    <border>
      <left style="medium">
        <color theme="1" tint="0.499984740745262"/>
      </left>
      <right/>
      <top/>
      <bottom style="medium">
        <color theme="1" tint="0.499984740745262"/>
      </bottom>
      <diagonal/>
    </border>
    <border>
      <left/>
      <right/>
      <top/>
      <bottom style="medium">
        <color theme="1" tint="0.499984740745262"/>
      </bottom>
      <diagonal/>
    </border>
    <border>
      <left/>
      <right style="medium">
        <color theme="1" tint="0.499984740745262"/>
      </right>
      <top/>
      <bottom style="medium">
        <color theme="1" tint="0.499984740745262"/>
      </bottom>
      <diagonal/>
    </border>
    <border>
      <left style="thin">
        <color theme="4"/>
      </left>
      <right style="thin">
        <color theme="4"/>
      </right>
      <top style="thin">
        <color theme="4"/>
      </top>
      <bottom style="thin">
        <color theme="4"/>
      </bottom>
      <diagonal/>
    </border>
    <border>
      <left style="thin">
        <color theme="4"/>
      </left>
      <right style="thin">
        <color theme="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bottom/>
      <diagonal/>
    </border>
    <border>
      <left style="thick">
        <color theme="3" tint="-0.499984740745262"/>
      </left>
      <right/>
      <top style="thick">
        <color theme="3" tint="-0.499984740745262"/>
      </top>
      <bottom/>
      <diagonal/>
    </border>
    <border>
      <left/>
      <right/>
      <top style="thick">
        <color theme="3" tint="-0.499984740745262"/>
      </top>
      <bottom/>
      <diagonal/>
    </border>
    <border>
      <left/>
      <right style="thick">
        <color theme="3" tint="-0.499984740745262"/>
      </right>
      <top style="thick">
        <color theme="3" tint="-0.499984740745262"/>
      </top>
      <bottom/>
      <diagonal/>
    </border>
    <border>
      <left style="thick">
        <color theme="3" tint="-0.499984740745262"/>
      </left>
      <right/>
      <top/>
      <bottom/>
      <diagonal/>
    </border>
    <border>
      <left/>
      <right style="thick">
        <color theme="3" tint="-0.499984740745262"/>
      </right>
      <top/>
      <bottom/>
      <diagonal/>
    </border>
    <border>
      <left style="thick">
        <color theme="3" tint="-0.499984740745262"/>
      </left>
      <right/>
      <top/>
      <bottom style="thick">
        <color theme="3" tint="-0.499984740745262"/>
      </bottom>
      <diagonal/>
    </border>
    <border>
      <left/>
      <right/>
      <top/>
      <bottom style="thick">
        <color theme="3" tint="-0.499984740745262"/>
      </bottom>
      <diagonal/>
    </border>
    <border>
      <left/>
      <right style="thick">
        <color theme="3" tint="-0.499984740745262"/>
      </right>
      <top/>
      <bottom style="thick">
        <color theme="3" tint="-0.499984740745262"/>
      </bottom>
      <diagonal/>
    </border>
    <border>
      <left style="medium">
        <color theme="3"/>
      </left>
      <right/>
      <top style="medium">
        <color theme="3"/>
      </top>
      <bottom/>
      <diagonal/>
    </border>
    <border>
      <left/>
      <right/>
      <top style="medium">
        <color theme="3"/>
      </top>
      <bottom/>
      <diagonal/>
    </border>
    <border>
      <left/>
      <right style="medium">
        <color theme="3"/>
      </right>
      <top style="medium">
        <color theme="3"/>
      </top>
      <bottom/>
      <diagonal/>
    </border>
    <border>
      <left style="medium">
        <color theme="3"/>
      </left>
      <right/>
      <top/>
      <bottom/>
      <diagonal/>
    </border>
    <border>
      <left/>
      <right style="medium">
        <color theme="3"/>
      </right>
      <top/>
      <bottom/>
      <diagonal/>
    </border>
    <border>
      <left style="medium">
        <color theme="3"/>
      </left>
      <right/>
      <top/>
      <bottom style="medium">
        <color theme="3"/>
      </bottom>
      <diagonal/>
    </border>
    <border>
      <left/>
      <right/>
      <top/>
      <bottom style="medium">
        <color theme="3"/>
      </bottom>
      <diagonal/>
    </border>
    <border>
      <left/>
      <right style="medium">
        <color theme="3"/>
      </right>
      <top/>
      <bottom style="medium">
        <color theme="3"/>
      </bottom>
      <diagonal/>
    </border>
  </borders>
  <cellStyleXfs count="4">
    <xf numFmtId="0" fontId="0" fillId="0" borderId="0"/>
    <xf numFmtId="9" fontId="1" fillId="0" borderId="0" applyFont="0" applyFill="0" applyBorder="0" applyAlignment="0" applyProtection="0"/>
    <xf numFmtId="43" fontId="1" fillId="0" borderId="0" applyFont="0" applyFill="0" applyBorder="0" applyAlignment="0" applyProtection="0"/>
    <xf numFmtId="0" fontId="25" fillId="0" borderId="0" applyNumberFormat="0" applyFill="0" applyBorder="0" applyAlignment="0" applyProtection="0"/>
  </cellStyleXfs>
  <cellXfs count="271">
    <xf numFmtId="0" fontId="0" fillId="0" borderId="0" xfId="0"/>
    <xf numFmtId="9" fontId="0" fillId="0" borderId="0" xfId="1" applyFont="1"/>
    <xf numFmtId="0" fontId="2" fillId="0" borderId="0" xfId="0" applyFont="1"/>
    <xf numFmtId="0" fontId="9" fillId="0" borderId="0" xfId="0" applyFont="1"/>
    <xf numFmtId="0" fontId="2" fillId="0" borderId="0" xfId="0" applyFont="1" applyBorder="1"/>
    <xf numFmtId="0" fontId="9" fillId="0" borderId="0" xfId="0" applyFont="1" applyBorder="1" applyAlignment="1">
      <alignment horizontal="center"/>
    </xf>
    <xf numFmtId="0" fontId="2" fillId="0" borderId="5" xfId="0" applyFont="1" applyBorder="1"/>
    <xf numFmtId="0" fontId="9" fillId="0" borderId="5" xfId="0" applyFont="1" applyBorder="1" applyAlignment="1">
      <alignment horizontal="right" vertical="top" wrapText="1"/>
    </xf>
    <xf numFmtId="0" fontId="2" fillId="0" borderId="6" xfId="0" applyFont="1" applyBorder="1"/>
    <xf numFmtId="0" fontId="2" fillId="0" borderId="7" xfId="0" applyFont="1" applyBorder="1"/>
    <xf numFmtId="0" fontId="2" fillId="0" borderId="8" xfId="0" applyFont="1" applyBorder="1"/>
    <xf numFmtId="0" fontId="2" fillId="0" borderId="9" xfId="0" applyFont="1" applyBorder="1"/>
    <xf numFmtId="0" fontId="0" fillId="0" borderId="0" xfId="0" applyAlignment="1">
      <alignment horizontal="center"/>
    </xf>
    <xf numFmtId="0" fontId="0" fillId="0" borderId="0" xfId="0" quotePrefix="1" applyNumberFormat="1" applyAlignment="1">
      <alignment horizontal="center"/>
    </xf>
    <xf numFmtId="1" fontId="0" fillId="0" borderId="0" xfId="0" applyNumberFormat="1" applyAlignment="1">
      <alignment horizontal="center"/>
    </xf>
    <xf numFmtId="0" fontId="0" fillId="0" borderId="10" xfId="0" applyFont="1" applyBorder="1"/>
    <xf numFmtId="9" fontId="0" fillId="0" borderId="10" xfId="1" applyNumberFormat="1" applyFont="1" applyBorder="1"/>
    <xf numFmtId="0" fontId="3" fillId="9" borderId="0" xfId="0" applyFont="1" applyFill="1" applyBorder="1"/>
    <xf numFmtId="164" fontId="0" fillId="0" borderId="0" xfId="2" applyNumberFormat="1" applyFont="1"/>
    <xf numFmtId="0" fontId="13" fillId="0" borderId="0" xfId="0" applyFont="1" applyBorder="1"/>
    <xf numFmtId="0" fontId="14" fillId="9" borderId="0" xfId="0" applyFont="1" applyFill="1"/>
    <xf numFmtId="0" fontId="15" fillId="11" borderId="0" xfId="0" applyFont="1" applyFill="1" applyBorder="1" applyAlignment="1">
      <alignment horizontal="center"/>
    </xf>
    <xf numFmtId="0" fontId="2" fillId="0" borderId="0" xfId="0" applyFont="1" applyBorder="1" applyAlignment="1"/>
    <xf numFmtId="9" fontId="2" fillId="10" borderId="0" xfId="1" applyFont="1" applyFill="1" applyBorder="1" applyAlignment="1">
      <alignment horizontal="center"/>
    </xf>
    <xf numFmtId="0" fontId="9" fillId="0" borderId="0" xfId="0" applyFont="1" applyBorder="1" applyAlignment="1"/>
    <xf numFmtId="0" fontId="12" fillId="0" borderId="0" xfId="0" applyFont="1" applyFill="1" applyBorder="1" applyAlignment="1"/>
    <xf numFmtId="0" fontId="2" fillId="0" borderId="0" xfId="0" applyFont="1" applyFill="1" applyBorder="1"/>
    <xf numFmtId="0" fontId="2" fillId="0" borderId="0" xfId="0" applyFont="1" applyFill="1" applyBorder="1" applyAlignment="1"/>
    <xf numFmtId="0" fontId="2" fillId="0" borderId="5" xfId="0" applyFont="1" applyBorder="1" applyAlignment="1">
      <alignment horizontal="right"/>
    </xf>
    <xf numFmtId="0" fontId="2" fillId="0" borderId="0" xfId="0" applyFont="1" applyFill="1" applyBorder="1" applyAlignment="1">
      <alignment horizontal="right"/>
    </xf>
    <xf numFmtId="0" fontId="9" fillId="0" borderId="0" xfId="0" applyFont="1" applyBorder="1" applyAlignment="1">
      <alignment horizontal="right"/>
    </xf>
    <xf numFmtId="0" fontId="0" fillId="0" borderId="0" xfId="0" applyBorder="1"/>
    <xf numFmtId="3" fontId="2" fillId="10" borderId="0" xfId="0" applyNumberFormat="1" applyFont="1" applyFill="1" applyBorder="1" applyAlignment="1">
      <alignment horizontal="center"/>
    </xf>
    <xf numFmtId="9" fontId="16" fillId="10" borderId="0" xfId="1" applyFont="1" applyFill="1" applyBorder="1" applyAlignment="1">
      <alignment horizontal="center"/>
    </xf>
    <xf numFmtId="1" fontId="15" fillId="11" borderId="0" xfId="0" applyNumberFormat="1" applyFont="1" applyFill="1" applyBorder="1" applyAlignment="1">
      <alignment horizontal="center"/>
    </xf>
    <xf numFmtId="0" fontId="0" fillId="0" borderId="3" xfId="0" applyBorder="1"/>
    <xf numFmtId="0" fontId="0" fillId="0" borderId="4" xfId="0" applyBorder="1"/>
    <xf numFmtId="0" fontId="0" fillId="0" borderId="6" xfId="0" applyBorder="1"/>
    <xf numFmtId="0" fontId="15" fillId="11" borderId="0" xfId="0" quotePrefix="1" applyFont="1" applyFill="1" applyBorder="1" applyAlignment="1">
      <alignment horizontal="center"/>
    </xf>
    <xf numFmtId="0" fontId="0" fillId="0" borderId="7" xfId="0" applyBorder="1"/>
    <xf numFmtId="0" fontId="0" fillId="0" borderId="8" xfId="0" applyBorder="1"/>
    <xf numFmtId="0" fontId="2" fillId="0" borderId="4" xfId="0" applyFont="1" applyBorder="1"/>
    <xf numFmtId="0" fontId="2" fillId="0" borderId="14" xfId="0" applyFont="1" applyBorder="1" applyAlignment="1">
      <alignment horizontal="center"/>
    </xf>
    <xf numFmtId="0" fontId="2" fillId="0" borderId="15" xfId="0" applyFont="1" applyBorder="1"/>
    <xf numFmtId="0" fontId="2" fillId="0" borderId="16" xfId="0" applyFont="1" applyBorder="1"/>
    <xf numFmtId="0" fontId="2" fillId="0" borderId="15" xfId="0" applyFont="1" applyBorder="1" applyAlignment="1">
      <alignment horizontal="center"/>
    </xf>
    <xf numFmtId="0" fontId="2" fillId="0" borderId="16" xfId="0" applyFont="1" applyBorder="1" applyAlignment="1">
      <alignment horizontal="center"/>
    </xf>
    <xf numFmtId="0" fontId="9" fillId="0" borderId="0" xfId="0" applyFont="1" applyBorder="1" applyAlignment="1">
      <alignment horizontal="center" vertical="center"/>
    </xf>
    <xf numFmtId="0" fontId="16" fillId="10" borderId="0" xfId="0" applyFont="1" applyFill="1" applyBorder="1" applyAlignment="1">
      <alignment horizontal="center"/>
    </xf>
    <xf numFmtId="0" fontId="2" fillId="0" borderId="20" xfId="0" applyFont="1" applyBorder="1"/>
    <xf numFmtId="0" fontId="2" fillId="0" borderId="21" xfId="0" applyFont="1" applyBorder="1"/>
    <xf numFmtId="0" fontId="2" fillId="0" borderId="21" xfId="0" applyFont="1" applyBorder="1" applyAlignment="1"/>
    <xf numFmtId="0" fontId="2" fillId="0" borderId="22" xfId="0" applyFont="1" applyBorder="1"/>
    <xf numFmtId="0" fontId="2" fillId="0" borderId="23" xfId="0" applyFont="1" applyBorder="1"/>
    <xf numFmtId="0" fontId="2" fillId="0" borderId="24" xfId="0" applyFont="1" applyBorder="1"/>
    <xf numFmtId="0" fontId="0" fillId="0" borderId="25" xfId="0" applyFont="1" applyBorder="1"/>
    <xf numFmtId="0" fontId="3" fillId="9" borderId="26" xfId="0" applyFont="1" applyFill="1" applyBorder="1"/>
    <xf numFmtId="0" fontId="2" fillId="0" borderId="11" xfId="0" applyFont="1" applyBorder="1"/>
    <xf numFmtId="0" fontId="2" fillId="0" borderId="11" xfId="0" applyFont="1" applyBorder="1" applyAlignment="1">
      <alignment horizontal="center"/>
    </xf>
    <xf numFmtId="0" fontId="2" fillId="0" borderId="34" xfId="0" quotePrefix="1" applyFont="1" applyBorder="1" applyAlignment="1">
      <alignment horizontal="center"/>
    </xf>
    <xf numFmtId="0" fontId="2" fillId="0" borderId="0" xfId="0" quotePrefix="1" applyFont="1" applyBorder="1" applyAlignment="1">
      <alignment horizontal="center"/>
    </xf>
    <xf numFmtId="0" fontId="2" fillId="0" borderId="14" xfId="0" applyFont="1" applyBorder="1"/>
    <xf numFmtId="0" fontId="2" fillId="0" borderId="15" xfId="0" applyFont="1" applyFill="1" applyBorder="1" applyAlignment="1">
      <alignment horizontal="left"/>
    </xf>
    <xf numFmtId="0" fontId="2" fillId="0" borderId="15" xfId="1" applyNumberFormat="1" applyFont="1" applyBorder="1" applyAlignment="1">
      <alignment horizontal="center"/>
    </xf>
    <xf numFmtId="165" fontId="2" fillId="0" borderId="15" xfId="0" applyNumberFormat="1" applyFont="1" applyBorder="1" applyAlignment="1">
      <alignment horizontal="center"/>
    </xf>
    <xf numFmtId="9" fontId="2" fillId="0" borderId="15" xfId="1" applyFont="1" applyBorder="1" applyAlignment="1">
      <alignment horizontal="center"/>
    </xf>
    <xf numFmtId="2" fontId="2" fillId="0" borderId="15" xfId="0" applyNumberFormat="1" applyFont="1" applyBorder="1" applyAlignment="1">
      <alignment horizontal="center"/>
    </xf>
    <xf numFmtId="0" fontId="2" fillId="12" borderId="15" xfId="0" applyFont="1" applyFill="1" applyBorder="1" applyAlignment="1">
      <alignment horizontal="center"/>
    </xf>
    <xf numFmtId="0" fontId="2" fillId="12" borderId="16" xfId="0" applyFont="1" applyFill="1" applyBorder="1"/>
    <xf numFmtId="0" fontId="2" fillId="0" borderId="30" xfId="0" quotePrefix="1" applyFont="1" applyBorder="1" applyAlignment="1">
      <alignment horizontal="center"/>
    </xf>
    <xf numFmtId="0" fontId="2" fillId="0" borderId="12" xfId="0" quotePrefix="1" applyFont="1" applyBorder="1" applyAlignment="1">
      <alignment horizontal="center"/>
    </xf>
    <xf numFmtId="0" fontId="2" fillId="0" borderId="31" xfId="0" quotePrefix="1" applyFont="1" applyBorder="1" applyAlignment="1">
      <alignment horizontal="center"/>
    </xf>
    <xf numFmtId="0" fontId="2" fillId="0" borderId="35" xfId="0" quotePrefix="1" applyFont="1" applyBorder="1" applyAlignment="1">
      <alignment horizontal="center"/>
    </xf>
    <xf numFmtId="0" fontId="2" fillId="0" borderId="33" xfId="0" quotePrefix="1" applyFont="1" applyBorder="1" applyAlignment="1">
      <alignment horizontal="center"/>
    </xf>
    <xf numFmtId="0" fontId="2" fillId="0" borderId="35" xfId="0" applyFont="1" applyBorder="1" applyAlignment="1">
      <alignment horizontal="center"/>
    </xf>
    <xf numFmtId="0" fontId="2" fillId="0" borderId="32" xfId="0" applyFont="1" applyBorder="1" applyAlignment="1">
      <alignment horizontal="center"/>
    </xf>
    <xf numFmtId="0" fontId="2" fillId="0" borderId="13" xfId="0" quotePrefix="1" applyFont="1" applyBorder="1" applyAlignment="1">
      <alignment horizontal="center"/>
    </xf>
    <xf numFmtId="0" fontId="2" fillId="14" borderId="15" xfId="0" applyFont="1" applyFill="1" applyBorder="1"/>
    <xf numFmtId="0" fontId="2" fillId="14" borderId="15" xfId="0" applyFont="1" applyFill="1" applyBorder="1" applyAlignment="1">
      <alignment horizontal="center"/>
    </xf>
    <xf numFmtId="0" fontId="2" fillId="14" borderId="35" xfId="0" quotePrefix="1" applyFont="1" applyFill="1" applyBorder="1" applyAlignment="1">
      <alignment horizontal="center"/>
    </xf>
    <xf numFmtId="0" fontId="2" fillId="14" borderId="0" xfId="0" quotePrefix="1" applyFont="1" applyFill="1" applyBorder="1" applyAlignment="1">
      <alignment horizontal="center"/>
    </xf>
    <xf numFmtId="0" fontId="2" fillId="14" borderId="33" xfId="0" quotePrefix="1" applyFont="1" applyFill="1" applyBorder="1" applyAlignment="1">
      <alignment horizontal="center"/>
    </xf>
    <xf numFmtId="0" fontId="2" fillId="14" borderId="15" xfId="0" applyFont="1" applyFill="1" applyBorder="1" applyAlignment="1">
      <alignment horizontal="left"/>
    </xf>
    <xf numFmtId="165" fontId="2" fillId="14" borderId="15" xfId="0" applyNumberFormat="1" applyFont="1" applyFill="1" applyBorder="1" applyAlignment="1">
      <alignment horizontal="center"/>
    </xf>
    <xf numFmtId="9" fontId="2" fillId="14" borderId="15" xfId="1" applyFont="1" applyFill="1" applyBorder="1" applyAlignment="1">
      <alignment horizontal="center"/>
    </xf>
    <xf numFmtId="2" fontId="2" fillId="14" borderId="15" xfId="0" applyNumberFormat="1" applyFont="1" applyFill="1" applyBorder="1" applyAlignment="1">
      <alignment horizontal="center"/>
    </xf>
    <xf numFmtId="0" fontId="2" fillId="14" borderId="0" xfId="0" applyFont="1" applyFill="1" applyBorder="1"/>
    <xf numFmtId="9" fontId="2" fillId="14" borderId="0" xfId="1" applyFont="1" applyFill="1" applyBorder="1" applyAlignment="1">
      <alignment horizontal="center"/>
    </xf>
    <xf numFmtId="9" fontId="2" fillId="14" borderId="33" xfId="1" applyFont="1" applyFill="1" applyBorder="1" applyAlignment="1">
      <alignment horizontal="center"/>
    </xf>
    <xf numFmtId="0" fontId="2" fillId="14" borderId="35" xfId="0" applyFont="1" applyFill="1" applyBorder="1" applyAlignment="1">
      <alignment horizontal="center"/>
    </xf>
    <xf numFmtId="0" fontId="2" fillId="14" borderId="14" xfId="0" applyFont="1" applyFill="1" applyBorder="1" applyAlignment="1">
      <alignment horizontal="center"/>
    </xf>
    <xf numFmtId="0" fontId="2" fillId="0" borderId="33" xfId="0" applyFont="1" applyBorder="1" applyAlignment="1">
      <alignment horizontal="center"/>
    </xf>
    <xf numFmtId="0" fontId="2" fillId="14" borderId="12" xfId="0" quotePrefix="1" applyFont="1" applyFill="1" applyBorder="1" applyAlignment="1">
      <alignment horizontal="center"/>
    </xf>
    <xf numFmtId="0" fontId="2" fillId="14" borderId="31" xfId="0" quotePrefix="1" applyFont="1" applyFill="1" applyBorder="1" applyAlignment="1">
      <alignment horizontal="center"/>
    </xf>
    <xf numFmtId="0" fontId="2" fillId="14" borderId="0" xfId="0" applyFont="1" applyFill="1" applyBorder="1" applyAlignment="1">
      <alignment horizontal="center"/>
    </xf>
    <xf numFmtId="0" fontId="2" fillId="14" borderId="33" xfId="0" applyFont="1" applyFill="1" applyBorder="1" applyAlignment="1">
      <alignment horizontal="center"/>
    </xf>
    <xf numFmtId="1" fontId="2" fillId="0" borderId="15" xfId="0" applyNumberFormat="1" applyFont="1" applyBorder="1" applyAlignment="1">
      <alignment horizontal="center"/>
    </xf>
    <xf numFmtId="1" fontId="2" fillId="14" borderId="15" xfId="0" applyNumberFormat="1" applyFont="1" applyFill="1" applyBorder="1" applyAlignment="1">
      <alignment horizontal="center"/>
    </xf>
    <xf numFmtId="9" fontId="2" fillId="0" borderId="15" xfId="1" applyNumberFormat="1" applyFont="1" applyBorder="1" applyAlignment="1">
      <alignment horizontal="center"/>
    </xf>
    <xf numFmtId="9" fontId="2" fillId="14" borderId="15" xfId="1" applyNumberFormat="1" applyFont="1" applyFill="1" applyBorder="1" applyAlignment="1">
      <alignment horizontal="center"/>
    </xf>
    <xf numFmtId="0" fontId="10" fillId="0" borderId="5" xfId="0" applyFont="1" applyFill="1" applyBorder="1" applyAlignment="1">
      <alignment vertical="center" wrapText="1"/>
    </xf>
    <xf numFmtId="0" fontId="2" fillId="14" borderId="35" xfId="0" applyFont="1" applyFill="1" applyBorder="1"/>
    <xf numFmtId="0" fontId="2" fillId="14" borderId="33" xfId="0" applyFont="1" applyFill="1" applyBorder="1"/>
    <xf numFmtId="0" fontId="9" fillId="0" borderId="0" xfId="0" applyFont="1" applyFill="1" applyBorder="1" applyAlignment="1">
      <alignment horizontal="right" vertical="center"/>
    </xf>
    <xf numFmtId="0" fontId="2" fillId="0" borderId="37" xfId="0" applyFont="1" applyBorder="1"/>
    <xf numFmtId="0" fontId="2" fillId="0" borderId="38" xfId="0" applyFont="1" applyBorder="1"/>
    <xf numFmtId="0" fontId="2" fillId="0" borderId="40" xfId="0" applyFont="1" applyBorder="1"/>
    <xf numFmtId="0" fontId="2" fillId="0" borderId="39" xfId="0" applyFont="1" applyBorder="1"/>
    <xf numFmtId="0" fontId="2" fillId="0" borderId="41" xfId="0" applyFont="1" applyBorder="1"/>
    <xf numFmtId="0" fontId="2" fillId="0" borderId="42" xfId="0" applyFont="1" applyBorder="1"/>
    <xf numFmtId="0" fontId="2" fillId="0" borderId="43" xfId="0" applyFont="1" applyBorder="1"/>
    <xf numFmtId="0" fontId="2" fillId="0" borderId="33" xfId="0" applyFont="1" applyBorder="1"/>
    <xf numFmtId="0" fontId="20" fillId="16" borderId="0" xfId="0" applyFont="1" applyFill="1" applyBorder="1" applyAlignment="1">
      <alignment horizontal="left" vertical="center" wrapText="1" indent="10"/>
    </xf>
    <xf numFmtId="0" fontId="2" fillId="0" borderId="0" xfId="0" applyFont="1" applyBorder="1" applyAlignment="1">
      <alignment horizontal="right"/>
    </xf>
    <xf numFmtId="0" fontId="2" fillId="0" borderId="0" xfId="0" applyFont="1" applyBorder="1" applyAlignment="1">
      <alignment horizontal="center"/>
    </xf>
    <xf numFmtId="0" fontId="2" fillId="0" borderId="3" xfId="0" applyFont="1" applyBorder="1"/>
    <xf numFmtId="0" fontId="24" fillId="0" borderId="0" xfId="0" applyFont="1" applyBorder="1"/>
    <xf numFmtId="0" fontId="0" fillId="0" borderId="31" xfId="0" applyBorder="1"/>
    <xf numFmtId="0" fontId="0" fillId="0" borderId="33" xfId="0" applyBorder="1"/>
    <xf numFmtId="0" fontId="0" fillId="0" borderId="30" xfId="0" applyBorder="1"/>
    <xf numFmtId="0" fontId="0" fillId="0" borderId="35" xfId="0" applyBorder="1"/>
    <xf numFmtId="0" fontId="22" fillId="0" borderId="34" xfId="0" applyFont="1" applyBorder="1"/>
    <xf numFmtId="0" fontId="22" fillId="0" borderId="32" xfId="0" applyFont="1" applyBorder="1"/>
    <xf numFmtId="0" fontId="2" fillId="0" borderId="0" xfId="0" applyFont="1" applyBorder="1" applyAlignment="1">
      <alignment horizontal="right"/>
    </xf>
    <xf numFmtId="0" fontId="2" fillId="0" borderId="0" xfId="0" applyFont="1" applyBorder="1" applyAlignment="1">
      <alignment horizontal="center" vertical="center"/>
    </xf>
    <xf numFmtId="0" fontId="2" fillId="0" borderId="0" xfId="0" applyFont="1" applyBorder="1" applyAlignment="1">
      <alignment horizontal="center"/>
    </xf>
    <xf numFmtId="0" fontId="2" fillId="10" borderId="0" xfId="0" applyFont="1" applyFill="1" applyBorder="1" applyAlignment="1">
      <alignment horizontal="center"/>
    </xf>
    <xf numFmtId="0" fontId="2" fillId="13" borderId="33" xfId="0" applyFont="1" applyFill="1" applyBorder="1"/>
    <xf numFmtId="0" fontId="2" fillId="0" borderId="34" xfId="0" applyFont="1" applyBorder="1"/>
    <xf numFmtId="0" fontId="9" fillId="0" borderId="0" xfId="0" applyFont="1" applyBorder="1" applyAlignment="1">
      <alignment vertical="center"/>
    </xf>
    <xf numFmtId="0" fontId="9" fillId="0" borderId="0" xfId="0" applyFont="1" applyFill="1" applyBorder="1" applyAlignment="1">
      <alignment horizontal="left" vertical="center"/>
    </xf>
    <xf numFmtId="0" fontId="2" fillId="0" borderId="0" xfId="0" applyFont="1" applyBorder="1" applyAlignment="1">
      <alignment horizontal="left"/>
    </xf>
    <xf numFmtId="0" fontId="9" fillId="0" borderId="0" xfId="0" applyFont="1" applyBorder="1" applyAlignment="1">
      <alignment horizontal="left"/>
    </xf>
    <xf numFmtId="0" fontId="2" fillId="0" borderId="0" xfId="0" applyFont="1" applyFill="1" applyBorder="1" applyAlignment="1">
      <alignment horizontal="left"/>
    </xf>
    <xf numFmtId="0" fontId="9" fillId="0" borderId="0" xfId="0" applyFont="1" applyBorder="1" applyAlignment="1">
      <alignment horizontal="left" vertical="center"/>
    </xf>
    <xf numFmtId="0" fontId="9" fillId="0" borderId="0" xfId="0" applyFont="1" applyBorder="1"/>
    <xf numFmtId="0" fontId="2" fillId="0" borderId="0" xfId="0" applyFont="1" applyBorder="1" applyAlignment="1">
      <alignment vertical="center"/>
    </xf>
    <xf numFmtId="0" fontId="2" fillId="0" borderId="0" xfId="0" applyFont="1" applyFill="1" applyBorder="1" applyAlignment="1">
      <alignment horizontal="left" vertical="center"/>
    </xf>
    <xf numFmtId="1" fontId="2" fillId="14" borderId="0" xfId="0" applyNumberFormat="1" applyFont="1" applyFill="1" applyBorder="1" applyAlignment="1">
      <alignment horizontal="center"/>
    </xf>
    <xf numFmtId="0" fontId="2" fillId="0" borderId="15" xfId="2" applyNumberFormat="1" applyFont="1" applyBorder="1" applyAlignment="1">
      <alignment horizontal="center"/>
    </xf>
    <xf numFmtId="0" fontId="2" fillId="0" borderId="15" xfId="0" applyFont="1" applyFill="1" applyBorder="1" applyAlignment="1">
      <alignment horizontal="center"/>
    </xf>
    <xf numFmtId="0" fontId="2" fillId="0" borderId="35" xfId="0" quotePrefix="1" applyFont="1" applyFill="1" applyBorder="1" applyAlignment="1">
      <alignment horizontal="center"/>
    </xf>
    <xf numFmtId="0" fontId="2" fillId="0" borderId="0" xfId="0" quotePrefix="1" applyFont="1" applyFill="1" applyBorder="1" applyAlignment="1">
      <alignment horizontal="center"/>
    </xf>
    <xf numFmtId="0" fontId="2" fillId="0" borderId="33" xfId="0" quotePrefix="1" applyFont="1" applyFill="1" applyBorder="1" applyAlignment="1">
      <alignment horizontal="center"/>
    </xf>
    <xf numFmtId="2" fontId="2" fillId="0" borderId="15" xfId="0" applyNumberFormat="1" applyFont="1" applyFill="1" applyBorder="1" applyAlignment="1">
      <alignment horizontal="center"/>
    </xf>
    <xf numFmtId="0" fontId="2" fillId="0" borderId="0" xfId="0" applyFont="1" applyFill="1" applyBorder="1" applyAlignment="1">
      <alignment horizontal="center"/>
    </xf>
    <xf numFmtId="0" fontId="2" fillId="0" borderId="33" xfId="0" applyFont="1" applyFill="1" applyBorder="1" applyAlignment="1">
      <alignment horizontal="center"/>
    </xf>
    <xf numFmtId="0" fontId="2" fillId="0" borderId="35" xfId="0" applyFont="1" applyFill="1" applyBorder="1" applyAlignment="1">
      <alignment horizontal="center"/>
    </xf>
    <xf numFmtId="0" fontId="2" fillId="14" borderId="15" xfId="1" applyNumberFormat="1" applyFont="1" applyFill="1" applyBorder="1" applyAlignment="1">
      <alignment horizontal="center"/>
    </xf>
    <xf numFmtId="0" fontId="2" fillId="14" borderId="32" xfId="0" quotePrefix="1" applyFont="1" applyFill="1" applyBorder="1" applyAlignment="1">
      <alignment horizontal="center"/>
    </xf>
    <xf numFmtId="0" fontId="2" fillId="14" borderId="13" xfId="0" quotePrefix="1" applyFont="1" applyFill="1" applyBorder="1" applyAlignment="1">
      <alignment horizontal="center"/>
    </xf>
    <xf numFmtId="0" fontId="2" fillId="14" borderId="34" xfId="0" quotePrefix="1" applyFont="1" applyFill="1" applyBorder="1" applyAlignment="1">
      <alignment horizontal="center"/>
    </xf>
    <xf numFmtId="0" fontId="2" fillId="12" borderId="16" xfId="0" applyFont="1" applyFill="1" applyBorder="1" applyAlignment="1">
      <alignment horizontal="center"/>
    </xf>
    <xf numFmtId="165" fontId="2" fillId="0" borderId="0" xfId="0" applyNumberFormat="1" applyFont="1"/>
    <xf numFmtId="0" fontId="2" fillId="0" borderId="0" xfId="0" applyFont="1" applyAlignment="1">
      <alignment horizontal="right"/>
    </xf>
    <xf numFmtId="0" fontId="2" fillId="0" borderId="0" xfId="0" applyFont="1" applyAlignment="1">
      <alignment horizontal="left" vertical="center"/>
    </xf>
    <xf numFmtId="0" fontId="9" fillId="0" borderId="0" xfId="0" applyFont="1" applyAlignment="1">
      <alignment horizontal="left" vertical="center"/>
    </xf>
    <xf numFmtId="0" fontId="2" fillId="0" borderId="0" xfId="0" applyFont="1" applyBorder="1" applyAlignment="1">
      <alignment horizontal="left" vertical="center"/>
    </xf>
    <xf numFmtId="0" fontId="2" fillId="0" borderId="0" xfId="0" applyFont="1" applyAlignment="1">
      <alignment horizontal="left"/>
    </xf>
    <xf numFmtId="0" fontId="9" fillId="0" borderId="0" xfId="0" applyFont="1" applyAlignment="1">
      <alignment horizontal="left"/>
    </xf>
    <xf numFmtId="0" fontId="9" fillId="0" borderId="0" xfId="0" applyFont="1" applyFill="1" applyBorder="1" applyAlignment="1">
      <alignment horizontal="left"/>
    </xf>
    <xf numFmtId="0" fontId="20" fillId="4" borderId="1" xfId="0" applyFont="1" applyFill="1" applyBorder="1" applyAlignment="1">
      <alignment vertical="center"/>
    </xf>
    <xf numFmtId="0" fontId="20" fillId="4" borderId="0" xfId="0" applyFont="1" applyFill="1" applyBorder="1" applyAlignment="1">
      <alignment vertical="center"/>
    </xf>
    <xf numFmtId="0" fontId="0" fillId="0" borderId="45" xfId="0" applyBorder="1"/>
    <xf numFmtId="0" fontId="0" fillId="0" borderId="46" xfId="0" applyBorder="1"/>
    <xf numFmtId="0" fontId="2" fillId="0" borderId="47" xfId="0" applyFont="1" applyBorder="1"/>
    <xf numFmtId="0" fontId="0" fillId="0" borderId="48" xfId="0" applyBorder="1"/>
    <xf numFmtId="0" fontId="2" fillId="0" borderId="48" xfId="0" applyFont="1" applyBorder="1"/>
    <xf numFmtId="0" fontId="2" fillId="0" borderId="49" xfId="0" applyFont="1" applyBorder="1"/>
    <xf numFmtId="0" fontId="2" fillId="0" borderId="50" xfId="0" applyFont="1" applyBorder="1"/>
    <xf numFmtId="0" fontId="2" fillId="0" borderId="51" xfId="0" applyFont="1" applyBorder="1"/>
    <xf numFmtId="0" fontId="26" fillId="20" borderId="0" xfId="0" applyFont="1" applyFill="1" applyBorder="1" applyAlignment="1">
      <alignment horizontal="center"/>
    </xf>
    <xf numFmtId="0" fontId="9" fillId="0" borderId="14" xfId="0" applyFont="1" applyBorder="1" applyAlignment="1">
      <alignment horizontal="center"/>
    </xf>
    <xf numFmtId="2" fontId="2" fillId="0" borderId="0" xfId="0" applyNumberFormat="1" applyFont="1" applyBorder="1" applyAlignment="1">
      <alignment horizontal="center"/>
    </xf>
    <xf numFmtId="0" fontId="26" fillId="0" borderId="0" xfId="0" applyFont="1" applyFill="1" applyBorder="1" applyAlignment="1">
      <alignment horizontal="center"/>
    </xf>
    <xf numFmtId="0" fontId="28" fillId="20" borderId="0" xfId="3" applyFont="1" applyFill="1" applyBorder="1" applyAlignment="1">
      <alignment horizontal="center"/>
    </xf>
    <xf numFmtId="0" fontId="2" fillId="12" borderId="14" xfId="0" applyFont="1" applyFill="1" applyBorder="1" applyAlignment="1">
      <alignment horizontal="center"/>
    </xf>
    <xf numFmtId="0" fontId="2" fillId="14" borderId="14" xfId="0" applyFont="1" applyFill="1" applyBorder="1"/>
    <xf numFmtId="0" fontId="2" fillId="14" borderId="30" xfId="0" quotePrefix="1" applyFont="1" applyFill="1" applyBorder="1" applyAlignment="1">
      <alignment horizontal="center"/>
    </xf>
    <xf numFmtId="0" fontId="2" fillId="0" borderId="32" xfId="0" quotePrefix="1" applyFont="1" applyBorder="1" applyAlignment="1">
      <alignment horizontal="center"/>
    </xf>
    <xf numFmtId="0" fontId="0" fillId="0" borderId="40" xfId="0" applyBorder="1"/>
    <xf numFmtId="0" fontId="2" fillId="0" borderId="3" xfId="0" applyFont="1" applyBorder="1" applyAlignment="1">
      <alignment vertical="center"/>
    </xf>
    <xf numFmtId="0" fontId="2" fillId="0" borderId="4" xfId="0" applyFont="1" applyBorder="1" applyAlignment="1">
      <alignment vertical="center"/>
    </xf>
    <xf numFmtId="0" fontId="0" fillId="0" borderId="3" xfId="0" applyBorder="1" applyAlignment="1">
      <alignment vertical="center"/>
    </xf>
    <xf numFmtId="0" fontId="0" fillId="0" borderId="4" xfId="0" applyBorder="1" applyAlignment="1">
      <alignment vertical="center"/>
    </xf>
    <xf numFmtId="0" fontId="0" fillId="0" borderId="0" xfId="0" applyBorder="1" applyAlignment="1">
      <alignment vertical="center"/>
    </xf>
    <xf numFmtId="0" fontId="2" fillId="0" borderId="6" xfId="0" applyFont="1" applyBorder="1" applyAlignment="1">
      <alignment vertical="center"/>
    </xf>
    <xf numFmtId="0" fontId="0" fillId="0" borderId="6" xfId="0" applyBorder="1" applyAlignment="1">
      <alignment vertical="center"/>
    </xf>
    <xf numFmtId="0" fontId="2" fillId="0" borderId="0" xfId="0" applyFont="1" applyFill="1" applyBorder="1" applyAlignment="1">
      <alignment horizontal="right" vertical="center"/>
    </xf>
    <xf numFmtId="0" fontId="15" fillId="11" borderId="0" xfId="0" quotePrefix="1" applyFont="1" applyFill="1" applyBorder="1" applyAlignment="1">
      <alignment horizontal="center" vertical="center"/>
    </xf>
    <xf numFmtId="0" fontId="2" fillId="0" borderId="5" xfId="0" applyFont="1" applyBorder="1" applyAlignment="1">
      <alignment horizontal="right" vertical="center"/>
    </xf>
    <xf numFmtId="0" fontId="15" fillId="11" borderId="0" xfId="0" applyFont="1" applyFill="1" applyBorder="1" applyAlignment="1">
      <alignment horizontal="center" vertical="center"/>
    </xf>
    <xf numFmtId="0" fontId="2" fillId="0" borderId="5" xfId="0" applyFont="1" applyBorder="1" applyAlignment="1">
      <alignment vertical="center"/>
    </xf>
    <xf numFmtId="0" fontId="2" fillId="0" borderId="0" xfId="0" applyFont="1" applyFill="1" applyBorder="1" applyAlignment="1">
      <alignment vertical="center"/>
    </xf>
    <xf numFmtId="0" fontId="2" fillId="11" borderId="0" xfId="0" applyFont="1" applyFill="1" applyBorder="1" applyAlignment="1">
      <alignment horizontal="center" vertical="center"/>
    </xf>
    <xf numFmtId="0" fontId="9" fillId="0" borderId="5" xfId="0" applyFont="1" applyBorder="1" applyAlignment="1">
      <alignment horizontal="right" vertical="center" wrapText="1"/>
    </xf>
    <xf numFmtId="165" fontId="15" fillId="11" borderId="0" xfId="0" applyNumberFormat="1" applyFont="1" applyFill="1" applyBorder="1" applyAlignment="1">
      <alignment horizontal="center" vertical="center"/>
    </xf>
    <xf numFmtId="1" fontId="15" fillId="11" borderId="0" xfId="0" applyNumberFormat="1" applyFont="1" applyFill="1" applyBorder="1" applyAlignment="1">
      <alignment horizontal="center" vertical="center"/>
    </xf>
    <xf numFmtId="0" fontId="2" fillId="0" borderId="0" xfId="0" applyFont="1" applyBorder="1" applyAlignment="1">
      <alignment horizontal="right" vertical="center"/>
    </xf>
    <xf numFmtId="2" fontId="15" fillId="11" borderId="0" xfId="0" quotePrefix="1" applyNumberFormat="1" applyFont="1" applyFill="1" applyBorder="1" applyAlignment="1">
      <alignment horizontal="center" vertical="center"/>
    </xf>
    <xf numFmtId="0" fontId="2" fillId="0" borderId="7" xfId="0" applyFont="1" applyBorder="1" applyAlignment="1">
      <alignment vertical="center"/>
    </xf>
    <xf numFmtId="0" fontId="2" fillId="0" borderId="8" xfId="0" applyFont="1" applyBorder="1" applyAlignment="1">
      <alignment vertical="center"/>
    </xf>
    <xf numFmtId="0" fontId="2" fillId="0" borderId="9" xfId="0" applyFont="1" applyBorder="1" applyAlignment="1">
      <alignment vertical="center"/>
    </xf>
    <xf numFmtId="0" fontId="0" fillId="0" borderId="7" xfId="0" applyBorder="1" applyAlignment="1">
      <alignment vertical="center"/>
    </xf>
    <xf numFmtId="0" fontId="0" fillId="0" borderId="8" xfId="0" applyBorder="1" applyAlignment="1">
      <alignment vertical="center"/>
    </xf>
    <xf numFmtId="0" fontId="0" fillId="0" borderId="43" xfId="0" applyBorder="1"/>
    <xf numFmtId="2" fontId="2" fillId="11" borderId="0" xfId="0" applyNumberFormat="1" applyFont="1" applyFill="1" applyBorder="1" applyAlignment="1">
      <alignment horizontal="center" vertical="center"/>
    </xf>
    <xf numFmtId="0" fontId="9" fillId="0" borderId="14" xfId="0" applyFont="1" applyFill="1" applyBorder="1" applyAlignment="1">
      <alignment horizontal="center"/>
    </xf>
    <xf numFmtId="0" fontId="2" fillId="0" borderId="15" xfId="0" applyFont="1" applyFill="1" applyBorder="1"/>
    <xf numFmtId="0" fontId="2" fillId="0" borderId="16" xfId="0" applyFont="1" applyFill="1" applyBorder="1"/>
    <xf numFmtId="0" fontId="2" fillId="0" borderId="14" xfId="0" applyFont="1" applyFill="1" applyBorder="1"/>
    <xf numFmtId="0" fontId="2" fillId="14" borderId="16" xfId="0" applyFont="1" applyFill="1" applyBorder="1"/>
    <xf numFmtId="0" fontId="2" fillId="14" borderId="16" xfId="0" applyFont="1" applyFill="1" applyBorder="1" applyAlignment="1">
      <alignment horizontal="center"/>
    </xf>
    <xf numFmtId="0" fontId="2" fillId="0" borderId="14" xfId="0" applyFont="1" applyFill="1" applyBorder="1" applyAlignment="1">
      <alignment horizontal="center"/>
    </xf>
    <xf numFmtId="0" fontId="2" fillId="0" borderId="0" xfId="0" quotePrefix="1" applyFont="1"/>
    <xf numFmtId="0" fontId="2" fillId="0" borderId="15" xfId="0" applyNumberFormat="1" applyFont="1" applyBorder="1" applyAlignment="1">
      <alignment horizontal="center"/>
    </xf>
    <xf numFmtId="0" fontId="2" fillId="0" borderId="0" xfId="0" applyNumberFormat="1" applyFont="1" applyBorder="1" applyAlignment="1">
      <alignment horizontal="center"/>
    </xf>
    <xf numFmtId="1" fontId="30" fillId="11" borderId="0" xfId="0" applyNumberFormat="1" applyFont="1" applyFill="1" applyBorder="1" applyAlignment="1">
      <alignment horizontal="center"/>
    </xf>
    <xf numFmtId="0" fontId="30" fillId="11" borderId="0" xfId="0" applyFont="1" applyFill="1" applyBorder="1" applyAlignment="1">
      <alignment horizontal="center"/>
    </xf>
    <xf numFmtId="0" fontId="30" fillId="11" borderId="0" xfId="0" quotePrefix="1" applyFont="1" applyFill="1" applyBorder="1" applyAlignment="1">
      <alignment horizontal="center"/>
    </xf>
    <xf numFmtId="165" fontId="30" fillId="11" borderId="0" xfId="0" applyNumberFormat="1" applyFont="1" applyFill="1" applyBorder="1" applyAlignment="1">
      <alignment horizontal="center"/>
    </xf>
    <xf numFmtId="2" fontId="30" fillId="11" borderId="0" xfId="0" quotePrefix="1" applyNumberFormat="1" applyFont="1" applyFill="1" applyBorder="1" applyAlignment="1">
      <alignment horizontal="center"/>
    </xf>
    <xf numFmtId="0" fontId="2" fillId="0" borderId="8" xfId="0" applyFont="1" applyBorder="1" applyAlignment="1">
      <alignment horizontal="left" vertical="center"/>
    </xf>
    <xf numFmtId="0" fontId="2" fillId="0" borderId="8" xfId="0" applyFont="1" applyFill="1" applyBorder="1" applyAlignment="1">
      <alignment vertical="center"/>
    </xf>
    <xf numFmtId="0" fontId="2" fillId="0" borderId="8" xfId="0" applyFont="1" applyFill="1" applyBorder="1" applyAlignment="1">
      <alignment horizontal="right" vertical="center"/>
    </xf>
    <xf numFmtId="0" fontId="0" fillId="0" borderId="0" xfId="0" quotePrefix="1"/>
    <xf numFmtId="0" fontId="20" fillId="18" borderId="0" xfId="0" applyFont="1" applyFill="1" applyBorder="1" applyAlignment="1">
      <alignment horizontal="left" vertical="center" wrapText="1" indent="10"/>
    </xf>
    <xf numFmtId="0" fontId="10" fillId="5" borderId="2" xfId="0" applyFont="1" applyFill="1" applyBorder="1" applyAlignment="1">
      <alignment horizontal="center" vertical="center" wrapText="1"/>
    </xf>
    <xf numFmtId="0" fontId="10" fillId="5" borderId="3" xfId="0" applyFont="1" applyFill="1" applyBorder="1" applyAlignment="1">
      <alignment horizontal="center" vertical="center" wrapText="1"/>
    </xf>
    <xf numFmtId="0" fontId="10" fillId="5" borderId="5" xfId="0" applyFont="1" applyFill="1" applyBorder="1" applyAlignment="1">
      <alignment horizontal="center" vertical="center" wrapText="1"/>
    </xf>
    <xf numFmtId="0" fontId="10" fillId="5" borderId="0" xfId="0" applyFont="1" applyFill="1" applyBorder="1" applyAlignment="1">
      <alignment horizontal="center" vertical="center" wrapText="1"/>
    </xf>
    <xf numFmtId="0" fontId="12" fillId="11" borderId="3" xfId="0" applyFont="1" applyFill="1" applyBorder="1" applyAlignment="1">
      <alignment horizontal="center" vertical="center"/>
    </xf>
    <xf numFmtId="0" fontId="12" fillId="11" borderId="0" xfId="0" applyFont="1" applyFill="1" applyBorder="1" applyAlignment="1">
      <alignment horizontal="center" vertical="center"/>
    </xf>
    <xf numFmtId="0" fontId="8" fillId="0" borderId="3" xfId="0" applyFont="1" applyFill="1" applyBorder="1" applyAlignment="1">
      <alignment horizontal="center" vertical="center"/>
    </xf>
    <xf numFmtId="0" fontId="8" fillId="0" borderId="0" xfId="0" applyFont="1" applyFill="1" applyBorder="1" applyAlignment="1">
      <alignment horizontal="center" vertical="center"/>
    </xf>
    <xf numFmtId="0" fontId="20" fillId="17" borderId="0" xfId="0" applyFont="1" applyFill="1" applyBorder="1" applyAlignment="1">
      <alignment horizontal="left" vertical="center" wrapText="1" indent="10"/>
    </xf>
    <xf numFmtId="0" fontId="5" fillId="2" borderId="36" xfId="0" applyFont="1" applyFill="1" applyBorder="1" applyAlignment="1">
      <alignment horizontal="center" vertical="center" wrapText="1"/>
    </xf>
    <xf numFmtId="0" fontId="5" fillId="2" borderId="37" xfId="0" applyFont="1" applyFill="1" applyBorder="1" applyAlignment="1">
      <alignment horizontal="center" vertical="center" wrapText="1"/>
    </xf>
    <xf numFmtId="0" fontId="5" fillId="2" borderId="38" xfId="0" applyFont="1" applyFill="1" applyBorder="1" applyAlignment="1">
      <alignment horizontal="center" vertical="center" wrapText="1"/>
    </xf>
    <xf numFmtId="0" fontId="5" fillId="2" borderId="39" xfId="0" applyFont="1" applyFill="1" applyBorder="1" applyAlignment="1">
      <alignment horizontal="center" vertical="center" wrapText="1"/>
    </xf>
    <xf numFmtId="0" fontId="5" fillId="2" borderId="0" xfId="0" applyFont="1" applyFill="1" applyBorder="1" applyAlignment="1">
      <alignment horizontal="center" vertical="center" wrapText="1"/>
    </xf>
    <xf numFmtId="0" fontId="5" fillId="2" borderId="40" xfId="0" applyFont="1" applyFill="1" applyBorder="1" applyAlignment="1">
      <alignment horizontal="center" vertical="center" wrapText="1"/>
    </xf>
    <xf numFmtId="0" fontId="20" fillId="16" borderId="0" xfId="0" applyFont="1" applyFill="1" applyBorder="1" applyAlignment="1">
      <alignment horizontal="left" vertical="center" wrapText="1" indent="10"/>
    </xf>
    <xf numFmtId="0" fontId="4" fillId="3" borderId="0" xfId="0" applyFont="1" applyFill="1" applyBorder="1" applyAlignment="1">
      <alignment horizontal="center" vertical="center"/>
    </xf>
    <xf numFmtId="0" fontId="2" fillId="0" borderId="0" xfId="0" applyFont="1" applyFill="1" applyBorder="1" applyAlignment="1">
      <alignment horizontal="center"/>
    </xf>
    <xf numFmtId="0" fontId="2" fillId="0" borderId="0" xfId="0" applyFont="1" applyFill="1" applyAlignment="1">
      <alignment horizontal="center"/>
    </xf>
    <xf numFmtId="0" fontId="8" fillId="0" borderId="3" xfId="0" applyFont="1" applyFill="1" applyBorder="1" applyAlignment="1">
      <alignment horizontal="center"/>
    </xf>
    <xf numFmtId="0" fontId="8" fillId="0" borderId="0" xfId="0" applyFont="1" applyFill="1" applyBorder="1" applyAlignment="1">
      <alignment horizontal="center"/>
    </xf>
    <xf numFmtId="0" fontId="12" fillId="11" borderId="3" xfId="0" applyFont="1" applyFill="1" applyBorder="1" applyAlignment="1">
      <alignment horizontal="center"/>
    </xf>
    <xf numFmtId="0" fontId="12" fillId="11" borderId="0" xfId="0" applyFont="1" applyFill="1" applyBorder="1" applyAlignment="1">
      <alignment horizontal="center"/>
    </xf>
    <xf numFmtId="0" fontId="11" fillId="8" borderId="0" xfId="0" applyFont="1" applyFill="1" applyBorder="1" applyAlignment="1">
      <alignment horizontal="center" vertical="center"/>
    </xf>
    <xf numFmtId="0" fontId="2" fillId="6" borderId="0" xfId="0" applyFont="1" applyFill="1" applyBorder="1" applyAlignment="1">
      <alignment horizontal="center" vertical="center" wrapText="1"/>
    </xf>
    <xf numFmtId="0" fontId="20" fillId="18" borderId="0" xfId="0" applyFont="1" applyFill="1" applyBorder="1" applyAlignment="1">
      <alignment horizontal="left" vertical="center" wrapText="1" indent="5"/>
    </xf>
    <xf numFmtId="0" fontId="10" fillId="19" borderId="44" xfId="0" applyFont="1" applyFill="1" applyBorder="1" applyAlignment="1">
      <alignment horizontal="center" vertical="center"/>
    </xf>
    <xf numFmtId="0" fontId="10" fillId="19" borderId="45" xfId="0" applyFont="1" applyFill="1" applyBorder="1" applyAlignment="1">
      <alignment horizontal="center" vertical="center"/>
    </xf>
    <xf numFmtId="0" fontId="10" fillId="19" borderId="47" xfId="0" applyFont="1" applyFill="1" applyBorder="1" applyAlignment="1">
      <alignment horizontal="center" vertical="center"/>
    </xf>
    <xf numFmtId="0" fontId="10" fillId="19" borderId="0" xfId="0" applyFont="1" applyFill="1" applyBorder="1" applyAlignment="1">
      <alignment horizontal="center" vertical="center"/>
    </xf>
    <xf numFmtId="0" fontId="9" fillId="0" borderId="0" xfId="0" applyFont="1" applyBorder="1" applyAlignment="1">
      <alignment horizontal="left" vertical="center" wrapText="1"/>
    </xf>
    <xf numFmtId="0" fontId="4" fillId="7" borderId="17" xfId="0" applyFont="1" applyFill="1" applyBorder="1" applyAlignment="1">
      <alignment horizontal="center"/>
    </xf>
    <xf numFmtId="0" fontId="4" fillId="7" borderId="18" xfId="0" applyFont="1" applyFill="1" applyBorder="1" applyAlignment="1">
      <alignment horizontal="center"/>
    </xf>
    <xf numFmtId="0" fontId="4" fillId="7" borderId="19" xfId="0" applyFont="1" applyFill="1" applyBorder="1" applyAlignment="1">
      <alignment horizontal="center"/>
    </xf>
    <xf numFmtId="0" fontId="20" fillId="4" borderId="1" xfId="0" applyFont="1" applyFill="1" applyBorder="1" applyAlignment="1">
      <alignment horizontal="left" vertical="center" indent="2"/>
    </xf>
    <xf numFmtId="0" fontId="20" fillId="4" borderId="0" xfId="0" applyFont="1" applyFill="1" applyBorder="1" applyAlignment="1">
      <alignment horizontal="left" vertical="center" indent="2"/>
    </xf>
    <xf numFmtId="0" fontId="19" fillId="15" borderId="0" xfId="0" applyFont="1" applyFill="1" applyAlignment="1">
      <alignment horizontal="center"/>
    </xf>
    <xf numFmtId="0" fontId="9" fillId="0" borderId="14" xfId="0" applyFont="1" applyBorder="1" applyAlignment="1">
      <alignment horizontal="center"/>
    </xf>
    <xf numFmtId="0" fontId="9" fillId="0" borderId="15" xfId="0" applyFont="1" applyBorder="1" applyAlignment="1">
      <alignment horizontal="center"/>
    </xf>
    <xf numFmtId="0" fontId="9" fillId="0" borderId="27" xfId="0" applyFont="1" applyBorder="1" applyAlignment="1">
      <alignment horizontal="center"/>
    </xf>
    <xf numFmtId="0" fontId="9" fillId="0" borderId="28" xfId="0" applyFont="1" applyBorder="1" applyAlignment="1">
      <alignment horizontal="center"/>
    </xf>
    <xf numFmtId="0" fontId="9" fillId="0" borderId="29" xfId="0" applyFont="1" applyBorder="1" applyAlignment="1">
      <alignment horizontal="center"/>
    </xf>
    <xf numFmtId="0" fontId="9" fillId="0" borderId="16" xfId="0" applyFont="1" applyBorder="1" applyAlignment="1">
      <alignment horizontal="center"/>
    </xf>
    <xf numFmtId="0" fontId="27" fillId="10" borderId="0" xfId="0" applyFont="1" applyFill="1" applyBorder="1" applyAlignment="1">
      <alignment horizontal="center" vertical="center" wrapText="1"/>
    </xf>
  </cellXfs>
  <cellStyles count="4">
    <cellStyle name="Comma" xfId="2" builtinId="3"/>
    <cellStyle name="Hyperlink" xfId="3" builtinId="8"/>
    <cellStyle name="Normal" xfId="0" builtinId="0"/>
    <cellStyle name="Percent" xfId="1" builtinId="5"/>
  </cellStyles>
  <dxfs count="67">
    <dxf>
      <border diagonalUp="0" diagonalDown="0">
        <left style="thin">
          <color indexed="64"/>
        </left>
        <right/>
        <top/>
        <bottom/>
        <vertical/>
        <horizontal/>
      </border>
    </dxf>
    <dxf>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1"/>
        <name val="Calibri"/>
        <scheme val="minor"/>
      </font>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scheme val="minor"/>
      </font>
      <border diagonalUp="0" diagonalDown="0">
        <left style="thin">
          <color theme="4"/>
        </left>
        <right style="thin">
          <color theme="4"/>
        </right>
        <top style="thin">
          <color theme="4"/>
        </top>
        <bottom style="thin">
          <color theme="4"/>
        </bottom>
        <vertical/>
        <horizontal/>
      </border>
    </dxf>
    <dxf>
      <border outline="0">
        <top style="thin">
          <color theme="4"/>
        </top>
      </border>
    </dxf>
    <dxf>
      <font>
        <b val="0"/>
        <i val="0"/>
        <strike val="0"/>
        <condense val="0"/>
        <extend val="0"/>
        <outline val="0"/>
        <shadow val="0"/>
        <u val="none"/>
        <vertAlign val="baseline"/>
        <sz val="11"/>
        <color theme="1"/>
        <name val="Calibri"/>
        <scheme val="minor"/>
      </font>
    </dxf>
    <dxf>
      <font>
        <b/>
        <i val="0"/>
        <strike val="0"/>
        <condense val="0"/>
        <extend val="0"/>
        <outline val="0"/>
        <shadow val="0"/>
        <u val="none"/>
        <vertAlign val="baseline"/>
        <sz val="11"/>
        <color theme="0"/>
        <name val="Calibri"/>
        <scheme val="minor"/>
      </font>
      <fill>
        <patternFill patternType="solid">
          <fgColor theme="4"/>
          <bgColor theme="4"/>
        </patternFill>
      </fill>
    </dxf>
    <dxf>
      <font>
        <b val="0"/>
        <i val="0"/>
        <strike val="0"/>
        <condense val="0"/>
        <extend val="0"/>
        <outline val="0"/>
        <shadow val="0"/>
        <u val="none"/>
        <vertAlign val="baseline"/>
        <sz val="11"/>
        <color theme="1"/>
        <name val="Calibri"/>
        <scheme val="minor"/>
      </font>
      <border diagonalUp="0" diagonalDown="0">
        <left/>
        <right/>
        <top style="thin">
          <color theme="4"/>
        </top>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op>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op>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op>
        <bottom/>
        <vertical/>
        <horizontal/>
      </border>
    </dxf>
    <dxf>
      <font>
        <b val="0"/>
        <i val="0"/>
        <strike val="0"/>
        <condense val="0"/>
        <extend val="0"/>
        <outline val="0"/>
        <shadow val="0"/>
        <u val="none"/>
        <vertAlign val="baseline"/>
        <sz val="11"/>
        <color theme="1"/>
        <name val="Calibri"/>
        <scheme val="minor"/>
      </font>
      <numFmt numFmtId="13" formatCode="0%"/>
      <border diagonalUp="0" diagonalDown="0">
        <left/>
        <right/>
        <top style="thin">
          <color theme="4"/>
        </top>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op>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op>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op>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op>
        <bottom/>
        <vertical/>
        <horizontal/>
      </border>
    </dxf>
    <dxf>
      <border outline="0">
        <left style="thin">
          <color theme="4"/>
        </left>
        <right style="thin">
          <color theme="4"/>
        </right>
        <top style="thin">
          <color theme="4"/>
        </top>
        <bottom style="thin">
          <color theme="4"/>
        </bottom>
      </border>
    </dxf>
    <dxf>
      <font>
        <b val="0"/>
        <i val="0"/>
        <strike val="0"/>
        <condense val="0"/>
        <extend val="0"/>
        <outline val="0"/>
        <shadow val="0"/>
        <u val="none"/>
        <vertAlign val="baseline"/>
        <sz val="11"/>
        <color theme="1"/>
        <name val="Calibri"/>
        <scheme val="minor"/>
      </font>
    </dxf>
    <dxf>
      <font>
        <b/>
        <i val="0"/>
        <strike val="0"/>
        <condense val="0"/>
        <extend val="0"/>
        <outline val="0"/>
        <shadow val="0"/>
        <u val="none"/>
        <vertAlign val="baseline"/>
        <sz val="11"/>
        <color theme="0"/>
        <name val="Calibri"/>
        <scheme val="minor"/>
      </font>
      <fill>
        <patternFill patternType="solid">
          <fgColor theme="4"/>
          <bgColor theme="4"/>
        </patternFill>
      </fill>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alignment horizontal="center" vertical="bottom" textRotation="0" wrapText="0" indent="0" justifyLastLine="0" shrinkToFit="0" readingOrder="0"/>
    </dxf>
    <dxf>
      <numFmt numFmtId="164" formatCode="_(* #,##0_);_(* \(#,##0\);_(* &quot;-&quot;??_);_(@_)"/>
    </dxf>
    <dxf>
      <font>
        <strike val="0"/>
        <color rgb="FF9C0006"/>
      </font>
      <fill>
        <patternFill>
          <bgColor rgb="FFFFC7CE"/>
        </patternFill>
      </fill>
    </dxf>
    <dxf>
      <font>
        <strike val="0"/>
        <color rgb="FF006100"/>
      </font>
      <fill>
        <patternFill>
          <bgColor rgb="FFC6EFCE"/>
        </patternFill>
      </fill>
    </dxf>
    <dxf>
      <font>
        <strike val="0"/>
        <color rgb="FF9C0006"/>
      </font>
      <fill>
        <patternFill>
          <bgColor rgb="FFFFC7CE"/>
        </patternFill>
      </fill>
    </dxf>
    <dxf>
      <font>
        <strike val="0"/>
        <color rgb="FF006100"/>
      </font>
      <fill>
        <patternFill>
          <bgColor rgb="FFC6EFCE"/>
        </patternFill>
      </fill>
    </dxf>
    <dxf>
      <font>
        <strike val="0"/>
        <color rgb="FF9C0006"/>
      </font>
      <fill>
        <patternFill>
          <bgColor rgb="FFFFC7CE"/>
        </patternFill>
      </fill>
    </dxf>
    <dxf>
      <font>
        <strike val="0"/>
        <color rgb="FF006100"/>
      </font>
      <fill>
        <patternFill>
          <bgColor rgb="FFC6EFCE"/>
        </patternFill>
      </fill>
    </dxf>
    <dxf>
      <font>
        <strike val="0"/>
        <color rgb="FF9C0006"/>
      </font>
      <fill>
        <patternFill>
          <bgColor rgb="FFFFC7CE"/>
        </patternFill>
      </fill>
    </dxf>
    <dxf>
      <font>
        <strike val="0"/>
        <color rgb="FF006100"/>
      </font>
      <fill>
        <patternFill>
          <bgColor rgb="FFC6EFCE"/>
        </patternFill>
      </fill>
    </dxf>
    <dxf>
      <font>
        <color rgb="FF006100"/>
      </font>
      <fill>
        <patternFill>
          <bgColor rgb="FFC6EFCE"/>
        </patternFill>
      </fill>
    </dxf>
    <dxf>
      <font>
        <color rgb="FF9C6500"/>
      </font>
      <fill>
        <patternFill>
          <bgColor rgb="FFFFEB9C"/>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6500"/>
      </font>
      <fill>
        <patternFill>
          <bgColor rgb="FFFFEB9C"/>
        </patternFill>
      </fill>
    </dxf>
    <dxf>
      <font>
        <strike val="0"/>
        <color rgb="FF9C0006"/>
      </font>
      <fill>
        <patternFill>
          <bgColor rgb="FFFFC7CE"/>
        </patternFill>
      </fill>
    </dxf>
    <dxf>
      <font>
        <strike val="0"/>
        <color rgb="FF375623"/>
      </font>
      <fill>
        <patternFill>
          <bgColor rgb="FFE2EFDA"/>
        </patternFill>
      </fill>
    </dxf>
    <dxf>
      <font>
        <strike val="0"/>
        <color rgb="FF9C0006"/>
      </font>
      <fill>
        <patternFill>
          <bgColor rgb="FFFFC7CE"/>
        </patternFill>
      </fill>
    </dxf>
    <dxf>
      <font>
        <strike val="0"/>
        <color rgb="FF375623"/>
      </font>
      <fill>
        <patternFill>
          <bgColor rgb="FFE2EFDA"/>
        </patternFill>
      </fill>
    </dxf>
    <dxf>
      <font>
        <color rgb="FF9C6500"/>
      </font>
      <fill>
        <patternFill>
          <bgColor rgb="FFFFEB9C"/>
        </patternFill>
      </fill>
    </dxf>
    <dxf>
      <font>
        <color theme="9" tint="-0.499984740745262"/>
      </font>
      <fill>
        <patternFill>
          <bgColor theme="9" tint="0.79998168889431442"/>
        </patternFill>
      </fill>
    </dxf>
    <dxf>
      <font>
        <color theme="9" tint="-0.499984740745262"/>
      </font>
      <fill>
        <patternFill>
          <bgColor theme="9" tint="0.79998168889431442"/>
        </patternFill>
      </fill>
    </dxf>
  </dxfs>
  <tableStyles count="0" defaultTableStyle="TableStyleMedium2" defaultPivotStyle="PivotStyleLight16"/>
  <colors>
    <mruColors>
      <color rgb="FFFFFF99"/>
      <color rgb="FFE2EFDA"/>
      <color rgb="FF375623"/>
      <color rgb="FF006100"/>
      <color rgb="FFC6EFCE"/>
      <color rgb="FF00CC66"/>
      <color rgb="FF9C0006"/>
      <color rgb="FFFFC7CE"/>
      <color rgb="FFFDBFBF"/>
      <color rgb="FFFF818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2</xdr:col>
      <xdr:colOff>3921</xdr:colOff>
      <xdr:row>24</xdr:row>
      <xdr:rowOff>64995</xdr:rowOff>
    </xdr:from>
    <xdr:to>
      <xdr:col>22</xdr:col>
      <xdr:colOff>43143</xdr:colOff>
      <xdr:row>45</xdr:row>
      <xdr:rowOff>141194</xdr:rowOff>
    </xdr:to>
    <xdr:sp macro="" textlink="">
      <xdr:nvSpPr>
        <xdr:cNvPr id="9" name="Rectangle 8"/>
        <xdr:cNvSpPr/>
      </xdr:nvSpPr>
      <xdr:spPr>
        <a:xfrm>
          <a:off x="327771" y="4503645"/>
          <a:ext cx="5935197" cy="3886199"/>
        </a:xfrm>
        <a:prstGeom prst="rect">
          <a:avLst/>
        </a:prstGeom>
        <a:noFill/>
        <a:ln w="34925" cap="rnd">
          <a:solidFill>
            <a:schemeClr val="accent6">
              <a:lumMod val="40000"/>
              <a:lumOff val="60000"/>
            </a:schemeClr>
          </a:solidFill>
          <a:prstDash val="dash"/>
          <a:roun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4</xdr:col>
          <xdr:colOff>57150</xdr:colOff>
          <xdr:row>21</xdr:row>
          <xdr:rowOff>28575</xdr:rowOff>
        </xdr:from>
        <xdr:to>
          <xdr:col>4</xdr:col>
          <xdr:colOff>666750</xdr:colOff>
          <xdr:row>22</xdr:row>
          <xdr:rowOff>142875</xdr:rowOff>
        </xdr:to>
        <xdr:sp macro="" textlink="">
          <xdr:nvSpPr>
            <xdr:cNvPr id="5123" name="Button 3" hidden="1">
              <a:extLst>
                <a:ext uri="{63B3BB69-23CF-44E3-9099-C40C66FF867C}">
                  <a14:compatExt spid="_x0000_s512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3300"/>
                  </a:solidFill>
                  <a:latin typeface="Calibri"/>
                </a:rPr>
                <a:t>Clear</a:t>
              </a:r>
            </a:p>
          </xdr:txBody>
        </xdr:sp>
        <xdr:clientData fPrintsWithSheet="0"/>
      </xdr:twoCellAnchor>
    </mc:Choice>
    <mc:Fallback/>
  </mc:AlternateContent>
  <xdr:twoCellAnchor>
    <xdr:from>
      <xdr:col>1</xdr:col>
      <xdr:colOff>129428</xdr:colOff>
      <xdr:row>7</xdr:row>
      <xdr:rowOff>6163</xdr:rowOff>
    </xdr:from>
    <xdr:to>
      <xdr:col>5</xdr:col>
      <xdr:colOff>50426</xdr:colOff>
      <xdr:row>13</xdr:row>
      <xdr:rowOff>25212</xdr:rowOff>
    </xdr:to>
    <xdr:sp macro="" textlink="">
      <xdr:nvSpPr>
        <xdr:cNvPr id="11" name="Oval 10"/>
        <xdr:cNvSpPr/>
      </xdr:nvSpPr>
      <xdr:spPr>
        <a:xfrm>
          <a:off x="319928" y="1082488"/>
          <a:ext cx="987798" cy="962024"/>
        </a:xfrm>
        <a:prstGeom prst="ellipse">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0"/>
            <a:t>Step 0</a:t>
          </a:r>
        </a:p>
      </xdr:txBody>
    </xdr:sp>
    <xdr:clientData/>
  </xdr:twoCellAnchor>
  <xdr:twoCellAnchor>
    <xdr:from>
      <xdr:col>1</xdr:col>
      <xdr:colOff>126066</xdr:colOff>
      <xdr:row>14</xdr:row>
      <xdr:rowOff>156882</xdr:rowOff>
    </xdr:from>
    <xdr:to>
      <xdr:col>5</xdr:col>
      <xdr:colOff>57709</xdr:colOff>
      <xdr:row>20</xdr:row>
      <xdr:rowOff>36979</xdr:rowOff>
    </xdr:to>
    <xdr:sp macro="" textlink="">
      <xdr:nvSpPr>
        <xdr:cNvPr id="12" name="Oval 11"/>
        <xdr:cNvSpPr/>
      </xdr:nvSpPr>
      <xdr:spPr>
        <a:xfrm>
          <a:off x="316566" y="2338107"/>
          <a:ext cx="998443" cy="994522"/>
        </a:xfrm>
        <a:prstGeom prst="ellipse">
          <a:avLst/>
        </a:prstGeom>
        <a:solidFill>
          <a:schemeClr val="accent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0"/>
            <a:t>Step 1</a:t>
          </a:r>
        </a:p>
      </xdr:txBody>
    </xdr:sp>
    <xdr:clientData/>
  </xdr:twoCellAnchor>
  <xdr:twoCellAnchor>
    <xdr:from>
      <xdr:col>1</xdr:col>
      <xdr:colOff>133910</xdr:colOff>
      <xdr:row>23</xdr:row>
      <xdr:rowOff>142314</xdr:rowOff>
    </xdr:from>
    <xdr:to>
      <xdr:col>5</xdr:col>
      <xdr:colOff>64432</xdr:colOff>
      <xdr:row>28</xdr:row>
      <xdr:rowOff>171449</xdr:rowOff>
    </xdr:to>
    <xdr:sp macro="" textlink="">
      <xdr:nvSpPr>
        <xdr:cNvPr id="13" name="Oval 12"/>
        <xdr:cNvSpPr/>
      </xdr:nvSpPr>
      <xdr:spPr>
        <a:xfrm>
          <a:off x="324410" y="3997138"/>
          <a:ext cx="995081" cy="981635"/>
        </a:xfrm>
        <a:prstGeom prst="ellipse">
          <a:avLst/>
        </a:prstGeom>
        <a:solidFill>
          <a:schemeClr val="accent6">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0"/>
            <a:t>Step 2</a:t>
          </a:r>
        </a:p>
      </xdr:txBody>
    </xdr:sp>
    <xdr:clientData/>
  </xdr:twoCellAnchor>
  <xdr:twoCellAnchor>
    <xdr:from>
      <xdr:col>2</xdr:col>
      <xdr:colOff>19609</xdr:colOff>
      <xdr:row>46</xdr:row>
      <xdr:rowOff>169209</xdr:rowOff>
    </xdr:from>
    <xdr:to>
      <xdr:col>5</xdr:col>
      <xdr:colOff>80680</xdr:colOff>
      <xdr:row>52</xdr:row>
      <xdr:rowOff>8405</xdr:rowOff>
    </xdr:to>
    <xdr:sp macro="" textlink="">
      <xdr:nvSpPr>
        <xdr:cNvPr id="14" name="Oval 13"/>
        <xdr:cNvSpPr/>
      </xdr:nvSpPr>
      <xdr:spPr>
        <a:xfrm>
          <a:off x="343459" y="8608359"/>
          <a:ext cx="994521" cy="982196"/>
        </a:xfrm>
        <a:prstGeom prst="ellipse">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0"/>
            <a:t>Step 3</a:t>
          </a:r>
        </a:p>
      </xdr:txBody>
    </xdr:sp>
    <xdr:clientData/>
  </xdr:twoCellAnchor>
  <xdr:twoCellAnchor>
    <xdr:from>
      <xdr:col>2</xdr:col>
      <xdr:colOff>32496</xdr:colOff>
      <xdr:row>52</xdr:row>
      <xdr:rowOff>177614</xdr:rowOff>
    </xdr:from>
    <xdr:to>
      <xdr:col>5</xdr:col>
      <xdr:colOff>93567</xdr:colOff>
      <xdr:row>57</xdr:row>
      <xdr:rowOff>184337</xdr:rowOff>
    </xdr:to>
    <xdr:sp macro="" textlink="">
      <xdr:nvSpPr>
        <xdr:cNvPr id="15" name="Oval 14"/>
        <xdr:cNvSpPr/>
      </xdr:nvSpPr>
      <xdr:spPr>
        <a:xfrm>
          <a:off x="356346" y="9759764"/>
          <a:ext cx="994521" cy="959223"/>
        </a:xfrm>
        <a:prstGeom prst="ellipse">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0"/>
            <a:t>Step 4</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47625</xdr:colOff>
      <xdr:row>31</xdr:row>
      <xdr:rowOff>114300</xdr:rowOff>
    </xdr:from>
    <xdr:to>
      <xdr:col>21</xdr:col>
      <xdr:colOff>47626</xdr:colOff>
      <xdr:row>52</xdr:row>
      <xdr:rowOff>16565</xdr:rowOff>
    </xdr:to>
    <xdr:sp macro="" textlink="">
      <xdr:nvSpPr>
        <xdr:cNvPr id="10" name="Rectangle 9"/>
        <xdr:cNvSpPr/>
      </xdr:nvSpPr>
      <xdr:spPr>
        <a:xfrm>
          <a:off x="370647" y="5812735"/>
          <a:ext cx="5383696" cy="4027004"/>
        </a:xfrm>
        <a:prstGeom prst="rect">
          <a:avLst/>
        </a:prstGeom>
        <a:noFill/>
        <a:ln w="34925" cap="rnd">
          <a:solidFill>
            <a:schemeClr val="accent6">
              <a:lumMod val="40000"/>
              <a:lumOff val="60000"/>
            </a:schemeClr>
          </a:solidFill>
          <a:prstDash val="dash"/>
          <a:roun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22</xdr:col>
          <xdr:colOff>57150</xdr:colOff>
          <xdr:row>12</xdr:row>
          <xdr:rowOff>9525</xdr:rowOff>
        </xdr:from>
        <xdr:to>
          <xdr:col>22</xdr:col>
          <xdr:colOff>676275</xdr:colOff>
          <xdr:row>13</xdr:row>
          <xdr:rowOff>152400</xdr:rowOff>
        </xdr:to>
        <xdr:sp macro="" textlink="">
          <xdr:nvSpPr>
            <xdr:cNvPr id="1049" name="Button 25" hidden="1">
              <a:extLst>
                <a:ext uri="{63B3BB69-23CF-44E3-9099-C40C66FF867C}">
                  <a14:compatExt spid="_x0000_s1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3300"/>
                  </a:solidFill>
                  <a:latin typeface="Calibri"/>
                </a:rPr>
                <a:t>Clear</a:t>
              </a:r>
            </a:p>
          </xdr:txBody>
        </xdr:sp>
        <xdr:clientData fPrintsWithSheet="0"/>
      </xdr:twoCellAnchor>
    </mc:Choice>
    <mc:Fallback/>
  </mc:AlternateContent>
  <xdr:twoCellAnchor>
    <xdr:from>
      <xdr:col>22</xdr:col>
      <xdr:colOff>138953</xdr:colOff>
      <xdr:row>1</xdr:row>
      <xdr:rowOff>63313</xdr:rowOff>
    </xdr:from>
    <xdr:to>
      <xdr:col>23</xdr:col>
      <xdr:colOff>345701</xdr:colOff>
      <xdr:row>8</xdr:row>
      <xdr:rowOff>25212</xdr:rowOff>
    </xdr:to>
    <xdr:sp macro="" textlink="">
      <xdr:nvSpPr>
        <xdr:cNvPr id="6" name="Oval 5"/>
        <xdr:cNvSpPr/>
      </xdr:nvSpPr>
      <xdr:spPr>
        <a:xfrm>
          <a:off x="6178924" y="220195"/>
          <a:ext cx="991159" cy="981635"/>
        </a:xfrm>
        <a:prstGeom prst="ellipse">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0"/>
            <a:t>Step 0</a:t>
          </a:r>
        </a:p>
      </xdr:txBody>
    </xdr:sp>
    <xdr:clientData/>
  </xdr:twoCellAnchor>
  <xdr:twoCellAnchor>
    <xdr:from>
      <xdr:col>2</xdr:col>
      <xdr:colOff>47625</xdr:colOff>
      <xdr:row>9</xdr:row>
      <xdr:rowOff>0</xdr:rowOff>
    </xdr:from>
    <xdr:to>
      <xdr:col>43</xdr:col>
      <xdr:colOff>190500</xdr:colOff>
      <xdr:row>30</xdr:row>
      <xdr:rowOff>142875</xdr:rowOff>
    </xdr:to>
    <xdr:sp macro="" textlink="">
      <xdr:nvSpPr>
        <xdr:cNvPr id="56" name="Rectangle 55"/>
        <xdr:cNvSpPr/>
      </xdr:nvSpPr>
      <xdr:spPr>
        <a:xfrm>
          <a:off x="371475" y="1581150"/>
          <a:ext cx="11725275" cy="4048125"/>
        </a:xfrm>
        <a:prstGeom prst="rect">
          <a:avLst/>
        </a:prstGeom>
        <a:noFill/>
        <a:ln w="34925" cap="rnd">
          <a:solidFill>
            <a:schemeClr val="accent1">
              <a:lumMod val="20000"/>
              <a:lumOff val="80000"/>
            </a:schemeClr>
          </a:solidFill>
          <a:prstDash val="dash"/>
          <a:roun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78441</xdr:colOff>
      <xdr:row>9</xdr:row>
      <xdr:rowOff>14007</xdr:rowOff>
    </xdr:from>
    <xdr:to>
      <xdr:col>6</xdr:col>
      <xdr:colOff>38659</xdr:colOff>
      <xdr:row>14</xdr:row>
      <xdr:rowOff>65554</xdr:rowOff>
    </xdr:to>
    <xdr:sp macro="" textlink="">
      <xdr:nvSpPr>
        <xdr:cNvPr id="13" name="Oval 12"/>
        <xdr:cNvSpPr/>
      </xdr:nvSpPr>
      <xdr:spPr>
        <a:xfrm>
          <a:off x="403412" y="1257860"/>
          <a:ext cx="991159" cy="981635"/>
        </a:xfrm>
        <a:prstGeom prst="ellipse">
          <a:avLst/>
        </a:prstGeom>
        <a:solidFill>
          <a:schemeClr val="accent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0"/>
            <a:t>Step 1</a:t>
          </a:r>
        </a:p>
      </xdr:txBody>
    </xdr:sp>
    <xdr:clientData/>
  </xdr:twoCellAnchor>
  <xdr:twoCellAnchor>
    <xdr:from>
      <xdr:col>2</xdr:col>
      <xdr:colOff>96370</xdr:colOff>
      <xdr:row>30</xdr:row>
      <xdr:rowOff>166407</xdr:rowOff>
    </xdr:from>
    <xdr:to>
      <xdr:col>6</xdr:col>
      <xdr:colOff>56588</xdr:colOff>
      <xdr:row>36</xdr:row>
      <xdr:rowOff>5042</xdr:rowOff>
    </xdr:to>
    <xdr:sp macro="" textlink="">
      <xdr:nvSpPr>
        <xdr:cNvPr id="15" name="Oval 14"/>
        <xdr:cNvSpPr/>
      </xdr:nvSpPr>
      <xdr:spPr>
        <a:xfrm>
          <a:off x="421341" y="5287495"/>
          <a:ext cx="991159" cy="981635"/>
        </a:xfrm>
        <a:prstGeom prst="ellipse">
          <a:avLst/>
        </a:prstGeom>
        <a:solidFill>
          <a:schemeClr val="accent6">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0"/>
            <a:t>Step 2</a:t>
          </a:r>
        </a:p>
      </xdr:txBody>
    </xdr:sp>
    <xdr:clientData/>
  </xdr:twoCellAnchor>
  <xdr:twoCellAnchor>
    <xdr:from>
      <xdr:col>22</xdr:col>
      <xdr:colOff>147917</xdr:colOff>
      <xdr:row>30</xdr:row>
      <xdr:rowOff>173132</xdr:rowOff>
    </xdr:from>
    <xdr:to>
      <xdr:col>23</xdr:col>
      <xdr:colOff>354665</xdr:colOff>
      <xdr:row>36</xdr:row>
      <xdr:rowOff>11767</xdr:rowOff>
    </xdr:to>
    <xdr:sp macro="" textlink="">
      <xdr:nvSpPr>
        <xdr:cNvPr id="16" name="Oval 15"/>
        <xdr:cNvSpPr/>
      </xdr:nvSpPr>
      <xdr:spPr>
        <a:xfrm>
          <a:off x="6187888" y="5294220"/>
          <a:ext cx="991159" cy="981635"/>
        </a:xfrm>
        <a:prstGeom prst="ellipse">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0"/>
            <a:t>Step 3</a:t>
          </a:r>
        </a:p>
      </xdr:txBody>
    </xdr:sp>
    <xdr:clientData/>
  </xdr:twoCellAnchor>
  <xdr:twoCellAnchor>
    <xdr:from>
      <xdr:col>22</xdr:col>
      <xdr:colOff>143435</xdr:colOff>
      <xdr:row>36</xdr:row>
      <xdr:rowOff>79002</xdr:rowOff>
    </xdr:from>
    <xdr:to>
      <xdr:col>23</xdr:col>
      <xdr:colOff>350183</xdr:colOff>
      <xdr:row>40</xdr:row>
      <xdr:rowOff>175372</xdr:rowOff>
    </xdr:to>
    <xdr:sp macro="" textlink="">
      <xdr:nvSpPr>
        <xdr:cNvPr id="17" name="Oval 16"/>
        <xdr:cNvSpPr/>
      </xdr:nvSpPr>
      <xdr:spPr>
        <a:xfrm>
          <a:off x="6183406" y="6343090"/>
          <a:ext cx="991159" cy="981635"/>
        </a:xfrm>
        <a:prstGeom prst="ellipse">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0"/>
            <a:t>Step 4</a:t>
          </a:r>
        </a:p>
      </xdr:txBody>
    </xdr:sp>
    <xdr:clientData/>
  </xdr:twoCellAnchor>
</xdr:wsDr>
</file>

<file path=xl/tables/table1.xml><?xml version="1.0" encoding="utf-8"?>
<table xmlns="http://schemas.openxmlformats.org/spreadsheetml/2006/main" id="2" name="JbodDetailsTable" displayName="JbodDetailsTable" ref="B11:C15" totalsRowShown="0">
  <autoFilter ref="B11:C15"/>
  <tableColumns count="2">
    <tableColumn id="1" name="SlotCount"/>
    <tableColumn id="2" name="RowCount"/>
  </tableColumns>
  <tableStyleInfo name="TableStyleLight9" showFirstColumn="0" showLastColumn="0" showRowStripes="1" showColumnStripes="0"/>
</table>
</file>

<file path=xl/tables/table2.xml><?xml version="1.0" encoding="utf-8"?>
<table xmlns="http://schemas.openxmlformats.org/spreadsheetml/2006/main" id="3" name="SupportedResiliancyTypesTable" displayName="SupportedResiliancyTypesTable" ref="B17:B19" totalsRowShown="0">
  <autoFilter ref="B17:B19"/>
  <tableColumns count="1">
    <tableColumn id="1" name="SupportedResiliancyTypes"/>
  </tableColumns>
  <tableStyleInfo name="TableStyleLight9" showFirstColumn="0" showLastColumn="0" showRowStripes="1" showColumnStripes="0"/>
</table>
</file>

<file path=xl/tables/table3.xml><?xml version="1.0" encoding="utf-8"?>
<table xmlns="http://schemas.openxmlformats.org/spreadsheetml/2006/main" id="4" name="Table4" displayName="Table4" ref="B21:B23" totalsRowShown="0">
  <autoFilter ref="B21:B23"/>
  <tableColumns count="1">
    <tableColumn id="1" name="IO Operations"/>
  </tableColumns>
  <tableStyleInfo name="TableStyleLight9" showFirstColumn="0" showLastColumn="0" showRowStripes="1" showColumnStripes="0"/>
</table>
</file>

<file path=xl/tables/table4.xml><?xml version="1.0" encoding="utf-8"?>
<table xmlns="http://schemas.openxmlformats.org/spreadsheetml/2006/main" id="6" name="SpacesModelTable" displayName="SpacesModelTable" ref="B29:G30" totalsRowShown="0">
  <autoFilter ref="B29:G30"/>
  <tableColumns count="6">
    <tableColumn id="1" name="Spaces Model"/>
    <tableColumn id="2" name="Minimum Software Version"/>
    <tableColumn id="3" name="EstimatedOverhead"/>
    <tableColumn id="4" name="MaxNumberOfDisksInPool"/>
    <tableColumn id="5" name="FastRebuildOverheadInGiB"/>
    <tableColumn id="6" name="SpacesMetadataOverheadinGiB"/>
  </tableColumns>
  <tableStyleInfo name="TableStyleLight9" showFirstColumn="0" showLastColumn="0" showRowStripes="1" showColumnStripes="0"/>
</table>
</file>

<file path=xl/tables/table5.xml><?xml version="1.0" encoding="utf-8"?>
<table xmlns="http://schemas.openxmlformats.org/spreadsheetml/2006/main" id="7" name="SofsNodeCountTable" displayName="SofsNodeCountTable" ref="B32:B35" totalsRowShown="0">
  <autoFilter ref="B32:B35"/>
  <tableColumns count="1">
    <tableColumn id="1" name="SOFS Node Count"/>
  </tableColumns>
  <tableStyleInfo name="TableStyleLight9" showFirstColumn="0" showLastColumn="0" showRowStripes="1" showColumnStripes="0"/>
</table>
</file>

<file path=xl/tables/table6.xml><?xml version="1.0" encoding="utf-8"?>
<table xmlns="http://schemas.openxmlformats.org/spreadsheetml/2006/main" id="8" name="ConfigurationTable" displayName="ConfigurationTable" ref="B2:AB6" totalsRowShown="0">
  <autoFilter ref="B2:AB6"/>
  <tableColumns count="27">
    <tableColumn id="1" name="Configuration"/>
    <tableColumn id="2" name="Description"/>
    <tableColumn id="3" name="Workload"/>
    <tableColumn id="4" name="IopsPeak" dataDxfId="29" dataCellStyle="Comma"/>
    <tableColumn id="5" name="IopsBaseline"/>
    <tableColumn id="6" name="WorkloadSizeInTB"/>
    <tableColumn id="7" name="WorkloadWorkingSetSizeinGB"/>
    <tableColumn id="8" name="CapacityExpansionPercentage" dataCellStyle="Percent"/>
    <tableColumn id="9" name="Architecture"/>
    <tableColumn id="10" name="SpacesModel"/>
    <tableColumn id="11" name="StorageLayout"/>
    <tableColumn id="12" name="EA"/>
    <tableColumn id="13" name="MPIO"/>
    <tableColumn id="14" name="HddSizeInTB"/>
    <tableColumn id="15" name="SsdSizeInGB"/>
    <tableColumn id="16" name="JbodSlots"/>
    <tableColumn id="17" name="SofsCount"/>
    <tableColumn id="18" name="SsdHddRatio" dataCellStyle="Percent"/>
    <tableColumn id="19" name="FillEmptySlots"/>
    <tableColumn id="20" name="WorkloadPoolCount"/>
    <tableColumn id="21" name="WbcSizeInGiB"/>
    <tableColumn id="22" name="VirtualDisksPerSofs"/>
    <tableColumn id="23" name="SsdRebuildPerPool"/>
    <tableColumn id="24" name="HddRebuildPerPool"/>
    <tableColumn id="26" name="SsdBackupPercentage" dataCellStyle="Percent"/>
    <tableColumn id="27" name="HddBackupPercentage" dataCellStyle="Percent"/>
    <tableColumn id="25" name="StorageLifeInYears"/>
  </tableColumns>
  <tableStyleInfo name="TableStyleLight9" showFirstColumn="0" showLastColumn="0" showRowStripes="1" showColumnStripes="0"/>
</table>
</file>

<file path=xl/tables/table7.xml><?xml version="1.0" encoding="utf-8"?>
<table xmlns="http://schemas.openxmlformats.org/spreadsheetml/2006/main" id="9" name="YesNoTable" displayName="YesNoTable" ref="B37:B39" totalsRowShown="0">
  <autoFilter ref="B37:B39"/>
  <tableColumns count="1">
    <tableColumn id="1" name="YesNo"/>
  </tableColumns>
  <tableStyleInfo name="TableStyleLight9" showFirstColumn="0" showLastColumn="0" showRowStripes="1" showColumnStripes="0"/>
</table>
</file>

<file path=xl/tables/table8.xml><?xml version="1.0" encoding="utf-8"?>
<table xmlns="http://schemas.openxmlformats.org/spreadsheetml/2006/main" id="10" name="HddTable" displayName="HddTable" ref="B41:D49" totalsRowShown="0">
  <autoFilter ref="B41:D49"/>
  <sortState ref="B42:D50">
    <sortCondition ref="B41:B50"/>
  </sortState>
  <tableColumns count="3">
    <tableColumn id="1" name="HDD Size (TB)"/>
    <tableColumn id="2" name="Physical Sector Size (K)"/>
    <tableColumn id="3" name="Logical Sector Size (K)"/>
  </tableColumns>
  <tableStyleInfo name="TableStyleLight9" showFirstColumn="0" showLastColumn="0" showRowStripes="1" showColumnStripes="0"/>
</table>
</file>

<file path=xl/tables/table9.xml><?xml version="1.0" encoding="utf-8"?>
<table xmlns="http://schemas.openxmlformats.org/spreadsheetml/2006/main" id="11" name="SsdTable" displayName="SsdTable" ref="B51:D57" totalsRowShown="0">
  <autoFilter ref="B51:D57"/>
  <tableColumns count="3">
    <tableColumn id="1" name="SSD Size (GB)"/>
    <tableColumn id="2" name="Physical Sector Size (K)"/>
    <tableColumn id="3" name="Logical Sector Size"/>
  </tableColumns>
  <tableStyleInfo name="TableStyleLight9" showFirstColumn="0" showLastColumn="0" showRowStripes="1" showColumnStripes="0"/>
</table>
</file>

<file path=xl/tables/table10.xml><?xml version="1.0" encoding="utf-8"?>
<table xmlns="http://schemas.openxmlformats.org/spreadsheetml/2006/main" id="12" name="ResiliencyTable" displayName="ResiliencyTable" ref="B59:L64" totalsRowShown="0" dataDxfId="28">
  <autoFilter ref="B59:L64"/>
  <tableColumns count="11">
    <tableColumn id="1" name="Resiliency Name"/>
    <tableColumn id="2" name="Resiliency Type"/>
    <tableColumn id="3" name="Physical Disk Redundancy"/>
    <tableColumn id="4" name="NumberOfDataCopies"/>
    <tableColumn id="5" name="Resiliancy Overhead" dataDxfId="27" dataCellStyle="Percent"/>
    <tableColumn id="10" name="Write Penalty" dataDxfId="26" dataCellStyle="Percent"/>
    <tableColumn id="6" name="Minimum number of columns" dataDxfId="25"/>
    <tableColumn id="7" name="Column-to-disk correlation" dataDxfId="24"/>
    <tableColumn id="8" name="Minimum number of disks in the pool" dataDxfId="23"/>
    <tableColumn id="9" name="Maximum column count " dataDxfId="22"/>
    <tableColumn id="12" name="Minimum JBOD Count for EA" dataDxfId="21">
      <calculatedColumnFormula>NA()</calculatedColumnFormula>
    </tableColumn>
  </tableColumns>
  <tableStyleInfo name="TableStyleLight9" showFirstColumn="0" showLastColumn="0" showRowStripes="1" showColumnStripes="0"/>
</table>
</file>

<file path=xl/tables/table11.xml><?xml version="1.0" encoding="utf-8"?>
<table xmlns="http://schemas.openxmlformats.org/spreadsheetml/2006/main" id="1" name="WorkloadTable" displayName="WorkloadTable" ref="B8:J9" totalsRowShown="0" headerRowDxfId="20" dataDxfId="19" tableBorderDxfId="18">
  <autoFilter ref="B8:J9"/>
  <tableColumns count="9">
    <tableColumn id="1" name="Workloads" dataDxfId="17"/>
    <tableColumn id="2" name="Description" dataDxfId="16"/>
    <tableColumn id="3" name="Block Size (K)" dataDxfId="15"/>
    <tableColumn id="4" name="IO Operation" dataDxfId="14"/>
    <tableColumn id="5" name="Write %" dataDxfId="13" dataCellStyle="Percent"/>
    <tableColumn id="6" name="MinSofsCount" dataDxfId="12"/>
    <tableColumn id="7" name="MaxSofsCount" dataDxfId="11"/>
    <tableColumn id="8" name="HddDiskIops" dataDxfId="10"/>
    <tableColumn id="9" name="SsdDiskIops" dataDxfId="9"/>
  </tableColumns>
  <tableStyleInfo name="TableStyleLight9" showFirstColumn="0" showLastColumn="0" showRowStripes="1" showColumnStripes="0"/>
</table>
</file>

<file path=xl/tables/table12.xml><?xml version="1.0" encoding="utf-8"?>
<table xmlns="http://schemas.openxmlformats.org/spreadsheetml/2006/main" id="5" name="ArchitectureTable" displayName="ArchitectureTable" ref="B25:B26" totalsRowShown="0" headerRowDxfId="8" dataDxfId="7" tableBorderDxfId="6">
  <autoFilter ref="B25:B26"/>
  <tableColumns count="1">
    <tableColumn id="1" name="Architecture" dataDxfId="5"/>
  </tableColumns>
  <tableStyleInfo name="TableStyleLight9" showFirstColumn="0" showLastColumn="0" showRowStripes="1" showColumnStripes="0"/>
</table>
</file>

<file path=xl/tables/table13.xml><?xml version="1.0" encoding="utf-8"?>
<table xmlns="http://schemas.openxmlformats.org/spreadsheetml/2006/main" id="13" name="Table13" displayName="Table13" ref="B2:C8" totalsRowShown="0" headerRowDxfId="4" headerRowBorderDxfId="3" tableBorderDxfId="2">
  <autoFilter ref="B2:C8"/>
  <tableColumns count="2">
    <tableColumn id="1" name="Constant" dataDxfId="1"/>
    <tableColumn id="2" name="Valu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7" Type="http://schemas.openxmlformats.org/officeDocument/2006/relationships/comments" Target="../comments2.xml"/><Relationship Id="rId2" Type="http://schemas.openxmlformats.org/officeDocument/2006/relationships/hyperlink" Target="https://support.microsoft.com/en-us/kb/811392" TargetMode="External"/><Relationship Id="rId1" Type="http://schemas.openxmlformats.org/officeDocument/2006/relationships/hyperlink" Target="https://technet.microsoft.com/en-us/library/dn858079.aspx" TargetMode="External"/><Relationship Id="rId6" Type="http://schemas.openxmlformats.org/officeDocument/2006/relationships/ctrlProp" Target="../ctrlProps/ctrlProp2.xml"/><Relationship Id="rId5" Type="http://schemas.openxmlformats.org/officeDocument/2006/relationships/vmlDrawing" Target="../drawings/vmlDrawing2.vml"/><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12" Type="http://schemas.openxmlformats.org/officeDocument/2006/relationships/table" Target="../tables/table12.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11" Type="http://schemas.openxmlformats.org/officeDocument/2006/relationships/table" Target="../tables/table11.xml"/><Relationship Id="rId5" Type="http://schemas.openxmlformats.org/officeDocument/2006/relationships/table" Target="../tables/table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1:BG60"/>
  <sheetViews>
    <sheetView showGridLines="0" showRowColHeaders="0" tabSelected="1" zoomScale="85" zoomScaleNormal="85" workbookViewId="0">
      <selection activeCell="I22" sqref="I22:S23"/>
    </sheetView>
  </sheetViews>
  <sheetFormatPr defaultColWidth="9.140625" defaultRowHeight="12.75" x14ac:dyDescent="0.2"/>
  <cols>
    <col min="1" max="1" width="2.85546875" style="2" customWidth="1"/>
    <col min="2" max="2" width="2" style="2" customWidth="1"/>
    <col min="3" max="3" width="2.140625" style="2" customWidth="1"/>
    <col min="4" max="4" width="1.7109375" style="2" customWidth="1"/>
    <col min="5" max="5" width="10.140625" style="2" customWidth="1"/>
    <col min="6" max="6" width="1.5703125" style="2" customWidth="1"/>
    <col min="7" max="7" width="9.7109375" style="2" customWidth="1"/>
    <col min="8" max="8" width="7" style="2" customWidth="1"/>
    <col min="9" max="9" width="2" style="2" customWidth="1"/>
    <col min="10" max="10" width="9.7109375" style="2" customWidth="1"/>
    <col min="11" max="11" width="2" style="2" customWidth="1"/>
    <col min="12" max="12" width="1.85546875" style="2" customWidth="1"/>
    <col min="13" max="13" width="2.140625" style="2" customWidth="1"/>
    <col min="14" max="14" width="1.7109375" style="2" customWidth="1"/>
    <col min="15" max="15" width="15" style="2" customWidth="1"/>
    <col min="16" max="16" width="1.28515625" style="2" customWidth="1"/>
    <col min="17" max="17" width="9.42578125" style="2" customWidth="1"/>
    <col min="18" max="18" width="1" style="2" customWidth="1"/>
    <col min="19" max="19" width="6.7109375" style="2" customWidth="1"/>
    <col min="20" max="22" width="2" style="2" customWidth="1"/>
    <col min="23" max="23" width="2.5703125" style="2" customWidth="1"/>
    <col min="24" max="24" width="7.28515625" style="2" customWidth="1"/>
    <col min="25" max="25" width="1.28515625" style="2" customWidth="1"/>
    <col min="26" max="26" width="4.5703125" style="2" customWidth="1"/>
    <col min="27" max="27" width="5.7109375" style="2" customWidth="1"/>
    <col min="28" max="28" width="14.28515625" style="2" customWidth="1"/>
    <col min="29" max="29" width="2.42578125" style="2" customWidth="1"/>
    <col min="30" max="31" width="2" style="2" customWidth="1"/>
    <col min="32" max="32" width="1.7109375" style="2" customWidth="1"/>
    <col min="33" max="33" width="5.7109375" style="2" customWidth="1"/>
    <col min="34" max="35" width="1.85546875" style="2" customWidth="1"/>
    <col min="36" max="36" width="12" style="2" customWidth="1"/>
    <col min="37" max="37" width="1.42578125" style="2" customWidth="1"/>
    <col min="38" max="38" width="6.42578125" style="2" customWidth="1"/>
    <col min="39" max="39" width="1.85546875" style="2" customWidth="1"/>
    <col min="40" max="41" width="1.7109375" style="2" customWidth="1"/>
    <col min="42" max="42" width="6.42578125" style="2" customWidth="1"/>
    <col min="43" max="43" width="1.5703125" style="2" customWidth="1"/>
    <col min="44" max="44" width="5.85546875" style="2" customWidth="1"/>
    <col min="45" max="45" width="1.42578125" style="2" customWidth="1"/>
    <col min="46" max="46" width="1.5703125" style="2" customWidth="1"/>
    <col min="47" max="16384" width="9.140625" style="2"/>
  </cols>
  <sheetData>
    <row r="1" spans="2:49" ht="12" customHeight="1" thickBot="1" x14ac:dyDescent="0.25"/>
    <row r="2" spans="2:49" ht="9.9499999999999993" customHeight="1" thickTop="1" x14ac:dyDescent="0.25">
      <c r="B2" s="236" t="s">
        <v>302</v>
      </c>
      <c r="C2" s="237"/>
      <c r="D2" s="237"/>
      <c r="E2" s="237"/>
      <c r="F2" s="237"/>
      <c r="G2" s="237"/>
      <c r="H2" s="237"/>
      <c r="I2" s="237"/>
      <c r="J2" s="237"/>
      <c r="K2" s="237"/>
      <c r="L2" s="237"/>
      <c r="M2" s="237"/>
      <c r="N2" s="237"/>
      <c r="O2" s="237"/>
      <c r="P2" s="237"/>
      <c r="Q2" s="237"/>
      <c r="R2" s="237"/>
      <c r="S2" s="237"/>
      <c r="T2" s="237"/>
      <c r="U2" s="237"/>
      <c r="V2" s="237"/>
      <c r="W2" s="238"/>
      <c r="X2"/>
      <c r="Y2"/>
      <c r="Z2"/>
      <c r="AA2"/>
      <c r="AB2"/>
      <c r="AC2"/>
      <c r="AD2"/>
      <c r="AE2"/>
      <c r="AF2"/>
      <c r="AG2"/>
      <c r="AH2"/>
      <c r="AI2"/>
      <c r="AJ2"/>
      <c r="AK2"/>
      <c r="AL2"/>
      <c r="AM2"/>
      <c r="AN2"/>
      <c r="AO2"/>
      <c r="AP2"/>
      <c r="AQ2"/>
      <c r="AR2"/>
      <c r="AS2"/>
      <c r="AT2"/>
      <c r="AU2"/>
      <c r="AV2"/>
      <c r="AW2"/>
    </row>
    <row r="3" spans="2:49" ht="15.75" customHeight="1" x14ac:dyDescent="0.25">
      <c r="B3" s="239"/>
      <c r="C3" s="240"/>
      <c r="D3" s="240"/>
      <c r="E3" s="240"/>
      <c r="F3" s="240"/>
      <c r="G3" s="240"/>
      <c r="H3" s="240"/>
      <c r="I3" s="240"/>
      <c r="J3" s="240"/>
      <c r="K3" s="240"/>
      <c r="L3" s="240"/>
      <c r="M3" s="240"/>
      <c r="N3" s="240"/>
      <c r="O3" s="240"/>
      <c r="P3" s="240"/>
      <c r="Q3" s="240"/>
      <c r="R3" s="240"/>
      <c r="S3" s="240"/>
      <c r="T3" s="240"/>
      <c r="U3" s="240"/>
      <c r="V3" s="240"/>
      <c r="W3" s="241"/>
      <c r="X3"/>
      <c r="Y3"/>
      <c r="Z3"/>
      <c r="AA3"/>
      <c r="AB3"/>
      <c r="AC3"/>
      <c r="AD3"/>
      <c r="AE3"/>
      <c r="AF3"/>
      <c r="AG3"/>
      <c r="AH3"/>
      <c r="AI3"/>
      <c r="AJ3"/>
      <c r="AK3"/>
      <c r="AL3"/>
      <c r="AM3"/>
      <c r="AN3"/>
      <c r="AO3"/>
      <c r="AP3"/>
      <c r="AQ3"/>
      <c r="AR3"/>
      <c r="AS3"/>
      <c r="AT3"/>
      <c r="AU3"/>
      <c r="AV3"/>
      <c r="AW3"/>
    </row>
    <row r="4" spans="2:49" ht="15.75" customHeight="1" x14ac:dyDescent="0.25">
      <c r="B4" s="239"/>
      <c r="C4" s="240"/>
      <c r="D4" s="240"/>
      <c r="E4" s="240"/>
      <c r="F4" s="240"/>
      <c r="G4" s="240"/>
      <c r="H4" s="240"/>
      <c r="I4" s="240"/>
      <c r="J4" s="240"/>
      <c r="K4" s="240"/>
      <c r="L4" s="240"/>
      <c r="M4" s="240"/>
      <c r="N4" s="240"/>
      <c r="O4" s="240"/>
      <c r="P4" s="240"/>
      <c r="Q4" s="240"/>
      <c r="R4" s="240"/>
      <c r="S4" s="240"/>
      <c r="T4" s="240"/>
      <c r="U4" s="240"/>
      <c r="V4" s="240"/>
      <c r="W4" s="241"/>
      <c r="X4"/>
      <c r="Y4"/>
      <c r="Z4"/>
      <c r="AA4"/>
      <c r="AB4"/>
      <c r="AC4"/>
      <c r="AD4"/>
      <c r="AE4"/>
      <c r="AF4"/>
      <c r="AG4"/>
      <c r="AH4"/>
      <c r="AI4"/>
      <c r="AJ4"/>
      <c r="AK4"/>
      <c r="AL4"/>
      <c r="AM4"/>
      <c r="AN4"/>
      <c r="AO4"/>
      <c r="AP4"/>
      <c r="AQ4"/>
      <c r="AR4"/>
      <c r="AS4"/>
      <c r="AT4"/>
      <c r="AU4"/>
      <c r="AV4"/>
      <c r="AW4"/>
    </row>
    <row r="5" spans="2:49" ht="12.75" customHeight="1" x14ac:dyDescent="0.25">
      <c r="B5" s="239"/>
      <c r="C5" s="240"/>
      <c r="D5" s="240"/>
      <c r="E5" s="240"/>
      <c r="F5" s="240"/>
      <c r="G5" s="240"/>
      <c r="H5" s="240"/>
      <c r="I5" s="240"/>
      <c r="J5" s="240"/>
      <c r="K5" s="240"/>
      <c r="L5" s="240"/>
      <c r="M5" s="240"/>
      <c r="N5" s="240"/>
      <c r="O5" s="240"/>
      <c r="P5" s="240"/>
      <c r="Q5" s="240"/>
      <c r="R5" s="240"/>
      <c r="S5" s="240"/>
      <c r="T5" s="240"/>
      <c r="U5" s="240"/>
      <c r="V5" s="240"/>
      <c r="W5" s="241"/>
      <c r="X5"/>
      <c r="Y5"/>
      <c r="Z5"/>
      <c r="AA5"/>
      <c r="AB5"/>
      <c r="AC5"/>
      <c r="AD5"/>
      <c r="AE5"/>
      <c r="AF5"/>
      <c r="AG5"/>
      <c r="AH5"/>
      <c r="AI5"/>
      <c r="AJ5"/>
      <c r="AK5"/>
      <c r="AL5"/>
      <c r="AM5"/>
      <c r="AN5"/>
      <c r="AO5"/>
      <c r="AP5"/>
      <c r="AQ5"/>
      <c r="AR5"/>
      <c r="AS5"/>
      <c r="AT5"/>
      <c r="AU5"/>
      <c r="AV5"/>
      <c r="AW5"/>
    </row>
    <row r="6" spans="2:49" ht="12.75" customHeight="1" x14ac:dyDescent="0.25">
      <c r="B6" s="239"/>
      <c r="C6" s="240"/>
      <c r="D6" s="240"/>
      <c r="E6" s="240"/>
      <c r="F6" s="240"/>
      <c r="G6" s="240"/>
      <c r="H6" s="240"/>
      <c r="I6" s="240"/>
      <c r="J6" s="240"/>
      <c r="K6" s="240"/>
      <c r="L6" s="240"/>
      <c r="M6" s="240"/>
      <c r="N6" s="240"/>
      <c r="O6" s="240"/>
      <c r="P6" s="240"/>
      <c r="Q6" s="240"/>
      <c r="R6" s="240"/>
      <c r="S6" s="240"/>
      <c r="T6" s="240"/>
      <c r="U6" s="240"/>
      <c r="V6" s="240"/>
      <c r="W6" s="241"/>
      <c r="X6"/>
      <c r="Y6"/>
      <c r="Z6"/>
      <c r="AA6"/>
      <c r="AB6"/>
      <c r="AC6"/>
      <c r="AD6"/>
      <c r="AE6"/>
      <c r="AF6"/>
      <c r="AG6"/>
      <c r="AH6"/>
      <c r="AI6"/>
      <c r="AJ6"/>
      <c r="AK6"/>
      <c r="AL6"/>
      <c r="AM6"/>
      <c r="AN6"/>
      <c r="AO6"/>
      <c r="AP6"/>
      <c r="AQ6"/>
      <c r="AR6"/>
      <c r="AS6"/>
      <c r="AT6"/>
      <c r="AU6"/>
      <c r="AV6"/>
      <c r="AW6"/>
    </row>
    <row r="7" spans="2:49" ht="6" customHeight="1" x14ac:dyDescent="0.25">
      <c r="B7" s="107"/>
      <c r="C7" s="4"/>
      <c r="D7" s="4"/>
      <c r="E7" s="4"/>
      <c r="F7" s="4"/>
      <c r="G7" s="4"/>
      <c r="H7" s="4"/>
      <c r="I7" s="4"/>
      <c r="J7" s="4"/>
      <c r="K7" s="4"/>
      <c r="L7" s="4"/>
      <c r="M7" s="4"/>
      <c r="N7" s="4"/>
      <c r="O7" s="4"/>
      <c r="P7" s="4"/>
      <c r="Q7" s="4"/>
      <c r="R7" s="4"/>
      <c r="S7" s="4"/>
      <c r="T7" s="4"/>
      <c r="U7" s="4"/>
      <c r="V7" s="4"/>
      <c r="W7" s="180"/>
      <c r="X7"/>
      <c r="Y7"/>
      <c r="Z7"/>
      <c r="AA7"/>
      <c r="AB7"/>
      <c r="AC7"/>
      <c r="AD7"/>
      <c r="AE7"/>
      <c r="AF7"/>
      <c r="AG7"/>
      <c r="AH7"/>
      <c r="AI7"/>
      <c r="AJ7"/>
      <c r="AK7"/>
      <c r="AL7"/>
      <c r="AM7"/>
      <c r="AN7"/>
      <c r="AO7"/>
      <c r="AP7"/>
      <c r="AQ7"/>
      <c r="AR7"/>
      <c r="AS7"/>
      <c r="AT7"/>
      <c r="AU7"/>
      <c r="AV7"/>
      <c r="AW7"/>
    </row>
    <row r="8" spans="2:49" ht="7.5" customHeight="1" x14ac:dyDescent="0.25">
      <c r="B8" s="107"/>
      <c r="C8" s="4"/>
      <c r="D8" s="4"/>
      <c r="E8" s="4"/>
      <c r="F8" s="4"/>
      <c r="G8" s="4"/>
      <c r="H8" s="4"/>
      <c r="I8" s="4"/>
      <c r="J8" s="4"/>
      <c r="K8" s="4"/>
      <c r="L8" s="4"/>
      <c r="M8" s="4"/>
      <c r="N8" s="4"/>
      <c r="O8" s="31"/>
      <c r="P8" s="31"/>
      <c r="Q8" s="4"/>
      <c r="R8" s="4"/>
      <c r="S8" s="4"/>
      <c r="T8" s="4"/>
      <c r="U8" s="4"/>
      <c r="V8" s="4"/>
      <c r="W8" s="180"/>
      <c r="X8"/>
      <c r="Y8"/>
      <c r="Z8"/>
      <c r="AA8"/>
      <c r="AB8"/>
      <c r="AC8"/>
      <c r="AD8"/>
      <c r="AE8"/>
      <c r="AF8"/>
      <c r="AG8"/>
      <c r="AH8"/>
      <c r="AI8"/>
      <c r="AJ8"/>
      <c r="AK8"/>
      <c r="AL8"/>
      <c r="AM8"/>
      <c r="AN8"/>
      <c r="AO8"/>
      <c r="AP8"/>
      <c r="AQ8"/>
      <c r="AR8"/>
      <c r="AS8"/>
      <c r="AT8"/>
      <c r="AU8"/>
      <c r="AV8"/>
      <c r="AW8"/>
    </row>
    <row r="9" spans="2:49" ht="5.25" customHeight="1" x14ac:dyDescent="0.25">
      <c r="B9" s="107"/>
      <c r="C9" s="4"/>
      <c r="D9" s="4"/>
      <c r="E9" s="4"/>
      <c r="F9" s="4"/>
      <c r="G9" s="4"/>
      <c r="H9" s="4"/>
      <c r="I9" s="4"/>
      <c r="J9" s="4"/>
      <c r="K9" s="4"/>
      <c r="L9" s="4"/>
      <c r="M9" s="4"/>
      <c r="N9" s="4"/>
      <c r="O9" s="4"/>
      <c r="P9" s="4"/>
      <c r="Q9" s="4"/>
      <c r="R9" s="4"/>
      <c r="S9" s="4"/>
      <c r="T9" s="4"/>
      <c r="U9" s="4"/>
      <c r="V9" s="4"/>
      <c r="W9" s="180"/>
      <c r="X9"/>
      <c r="Y9"/>
      <c r="Z9"/>
      <c r="AA9"/>
      <c r="AB9"/>
      <c r="AC9"/>
      <c r="AD9"/>
      <c r="AE9"/>
      <c r="AF9"/>
      <c r="AG9"/>
      <c r="AH9"/>
      <c r="AI9"/>
      <c r="AJ9"/>
      <c r="AK9"/>
      <c r="AL9"/>
      <c r="AM9"/>
      <c r="AN9"/>
      <c r="AO9"/>
      <c r="AP9"/>
      <c r="AQ9"/>
      <c r="AR9"/>
      <c r="AS9"/>
      <c r="AT9"/>
      <c r="AU9"/>
      <c r="AV9"/>
      <c r="AW9"/>
    </row>
    <row r="10" spans="2:49" ht="18.75" customHeight="1" x14ac:dyDescent="0.25">
      <c r="B10" s="107"/>
      <c r="C10" s="4"/>
      <c r="D10" s="4"/>
      <c r="E10" s="226" t="s">
        <v>232</v>
      </c>
      <c r="F10" s="226"/>
      <c r="G10" s="226"/>
      <c r="H10" s="226"/>
      <c r="I10" s="226"/>
      <c r="J10" s="226"/>
      <c r="K10" s="226"/>
      <c r="L10" s="226"/>
      <c r="M10" s="226"/>
      <c r="N10" s="226"/>
      <c r="O10" s="226"/>
      <c r="P10" s="226"/>
      <c r="Q10" s="226"/>
      <c r="R10" s="226"/>
      <c r="S10" s="226"/>
      <c r="T10" s="226"/>
      <c r="U10" s="226"/>
      <c r="V10" s="4"/>
      <c r="W10" s="180"/>
      <c r="X10"/>
      <c r="Y10"/>
      <c r="Z10"/>
      <c r="AA10"/>
      <c r="AB10"/>
      <c r="AC10"/>
      <c r="AD10"/>
      <c r="AE10"/>
      <c r="AF10"/>
      <c r="AG10"/>
      <c r="AH10"/>
      <c r="AI10"/>
      <c r="AJ10"/>
      <c r="AK10"/>
      <c r="AL10"/>
      <c r="AM10"/>
      <c r="AN10"/>
      <c r="AO10"/>
      <c r="AP10"/>
      <c r="AQ10"/>
      <c r="AR10"/>
      <c r="AS10"/>
      <c r="AT10"/>
      <c r="AU10"/>
      <c r="AV10"/>
      <c r="AW10"/>
    </row>
    <row r="11" spans="2:49" ht="15" x14ac:dyDescent="0.25">
      <c r="B11" s="107"/>
      <c r="C11" s="4"/>
      <c r="D11" s="4"/>
      <c r="E11" s="226"/>
      <c r="F11" s="226"/>
      <c r="G11" s="226"/>
      <c r="H11" s="226"/>
      <c r="I11" s="226"/>
      <c r="J11" s="226"/>
      <c r="K11" s="226"/>
      <c r="L11" s="226"/>
      <c r="M11" s="226"/>
      <c r="N11" s="226"/>
      <c r="O11" s="226"/>
      <c r="P11" s="226"/>
      <c r="Q11" s="226"/>
      <c r="R11" s="226"/>
      <c r="S11" s="226"/>
      <c r="T11" s="226"/>
      <c r="U11" s="226"/>
      <c r="V11" s="4"/>
      <c r="W11" s="180"/>
      <c r="X11"/>
      <c r="Y11"/>
      <c r="Z11"/>
      <c r="AA11"/>
      <c r="AB11"/>
      <c r="AC11"/>
      <c r="AD11"/>
      <c r="AE11"/>
      <c r="AF11"/>
      <c r="AG11"/>
      <c r="AH11"/>
      <c r="AI11"/>
      <c r="AJ11"/>
      <c r="AK11"/>
      <c r="AL11"/>
      <c r="AM11"/>
      <c r="AN11"/>
      <c r="AO11"/>
      <c r="AP11"/>
      <c r="AQ11"/>
      <c r="AR11"/>
      <c r="AS11"/>
      <c r="AT11"/>
      <c r="AU11"/>
      <c r="AV11"/>
      <c r="AW11"/>
    </row>
    <row r="12" spans="2:49" ht="15" customHeight="1" x14ac:dyDescent="0.25">
      <c r="B12" s="107"/>
      <c r="C12" s="4"/>
      <c r="D12" s="4"/>
      <c r="E12" s="226"/>
      <c r="F12" s="226"/>
      <c r="G12" s="226"/>
      <c r="H12" s="226"/>
      <c r="I12" s="226"/>
      <c r="J12" s="226"/>
      <c r="K12" s="226"/>
      <c r="L12" s="226"/>
      <c r="M12" s="226"/>
      <c r="N12" s="226"/>
      <c r="O12" s="226"/>
      <c r="P12" s="226"/>
      <c r="Q12" s="226"/>
      <c r="R12" s="226"/>
      <c r="S12" s="226"/>
      <c r="T12" s="226"/>
      <c r="U12" s="226"/>
      <c r="V12" s="4"/>
      <c r="W12" s="180"/>
      <c r="X12"/>
      <c r="Y12"/>
      <c r="Z12"/>
      <c r="AA12"/>
      <c r="AB12"/>
      <c r="AC12"/>
      <c r="AD12"/>
      <c r="AE12"/>
      <c r="AF12"/>
      <c r="AG12"/>
      <c r="AH12"/>
      <c r="AI12"/>
      <c r="AJ12"/>
      <c r="AK12"/>
      <c r="AL12"/>
      <c r="AM12"/>
      <c r="AN12"/>
      <c r="AO12"/>
      <c r="AP12"/>
      <c r="AQ12"/>
      <c r="AR12"/>
      <c r="AS12"/>
      <c r="AT12"/>
      <c r="AU12"/>
      <c r="AV12"/>
      <c r="AW12"/>
    </row>
    <row r="13" spans="2:49" ht="12.75" customHeight="1" x14ac:dyDescent="0.25">
      <c r="B13" s="107"/>
      <c r="C13" s="4"/>
      <c r="D13" s="4"/>
      <c r="E13" s="4"/>
      <c r="F13" s="4"/>
      <c r="G13" s="4"/>
      <c r="H13" s="4"/>
      <c r="I13" s="4"/>
      <c r="J13" s="4"/>
      <c r="K13" s="4"/>
      <c r="L13" s="4"/>
      <c r="M13" s="4"/>
      <c r="N13" s="4"/>
      <c r="O13" s="4"/>
      <c r="P13" s="4"/>
      <c r="Q13" s="4"/>
      <c r="R13" s="31"/>
      <c r="S13" s="31"/>
      <c r="T13" s="4"/>
      <c r="U13" s="4"/>
      <c r="V13" s="4"/>
      <c r="W13" s="180"/>
      <c r="X13"/>
      <c r="Y13"/>
      <c r="Z13"/>
      <c r="AA13"/>
      <c r="AB13"/>
      <c r="AC13"/>
      <c r="AD13"/>
      <c r="AE13"/>
      <c r="AF13"/>
      <c r="AG13"/>
      <c r="AH13"/>
      <c r="AI13"/>
      <c r="AJ13"/>
      <c r="AK13"/>
      <c r="AL13"/>
      <c r="AM13"/>
      <c r="AN13"/>
      <c r="AO13"/>
      <c r="AP13"/>
      <c r="AQ13"/>
      <c r="AR13"/>
      <c r="AS13"/>
      <c r="AT13"/>
      <c r="AU13"/>
      <c r="AV13"/>
      <c r="AW13"/>
    </row>
    <row r="14" spans="2:49" ht="12.75" customHeight="1" x14ac:dyDescent="0.25">
      <c r="B14" s="107"/>
      <c r="C14" s="4"/>
      <c r="D14" s="4"/>
      <c r="E14" s="4"/>
      <c r="F14" s="4"/>
      <c r="G14" s="4"/>
      <c r="H14" s="4"/>
      <c r="I14" s="4"/>
      <c r="J14" s="4"/>
      <c r="K14" s="4"/>
      <c r="L14" s="4"/>
      <c r="M14" s="4"/>
      <c r="N14" s="4"/>
      <c r="O14" s="4"/>
      <c r="P14" s="4"/>
      <c r="Q14" s="4"/>
      <c r="R14" s="4"/>
      <c r="S14" s="4"/>
      <c r="T14" s="4"/>
      <c r="U14" s="4"/>
      <c r="V14" s="4"/>
      <c r="W14" s="180"/>
      <c r="X14"/>
      <c r="Y14"/>
      <c r="Z14"/>
      <c r="AA14"/>
      <c r="AB14"/>
      <c r="AC14"/>
      <c r="AD14"/>
      <c r="AE14"/>
      <c r="AF14"/>
      <c r="AG14"/>
      <c r="AH14"/>
      <c r="AI14"/>
      <c r="AJ14"/>
      <c r="AK14"/>
      <c r="AL14"/>
      <c r="AM14"/>
      <c r="AN14"/>
      <c r="AO14"/>
      <c r="AP14"/>
      <c r="AQ14"/>
      <c r="AR14"/>
      <c r="AS14"/>
      <c r="AT14"/>
      <c r="AU14"/>
      <c r="AV14"/>
      <c r="AW14"/>
    </row>
    <row r="15" spans="2:49" ht="15" x14ac:dyDescent="0.25">
      <c r="B15" s="107"/>
      <c r="C15" s="4"/>
      <c r="D15" s="4"/>
      <c r="E15" s="4"/>
      <c r="F15" s="4"/>
      <c r="G15" s="4"/>
      <c r="H15" s="4"/>
      <c r="I15" s="4"/>
      <c r="J15" s="4"/>
      <c r="K15" s="4"/>
      <c r="L15" s="4"/>
      <c r="M15" s="4"/>
      <c r="N15" s="4"/>
      <c r="O15" s="4"/>
      <c r="P15" s="4"/>
      <c r="Q15" s="4"/>
      <c r="R15" s="4"/>
      <c r="S15" s="4"/>
      <c r="T15" s="4"/>
      <c r="U15" s="4"/>
      <c r="V15" s="4"/>
      <c r="W15" s="180"/>
      <c r="X15"/>
      <c r="Y15"/>
      <c r="Z15"/>
      <c r="AA15"/>
      <c r="AB15"/>
      <c r="AC15"/>
      <c r="AD15"/>
      <c r="AE15"/>
      <c r="AF15"/>
      <c r="AG15"/>
      <c r="AH15"/>
      <c r="AI15"/>
      <c r="AJ15"/>
      <c r="AK15"/>
      <c r="AL15"/>
      <c r="AM15"/>
      <c r="AN15"/>
      <c r="AO15"/>
      <c r="AP15"/>
      <c r="AQ15"/>
      <c r="AR15"/>
      <c r="AS15"/>
      <c r="AT15"/>
      <c r="AU15"/>
      <c r="AV15"/>
      <c r="AW15"/>
    </row>
    <row r="16" spans="2:49" ht="15" x14ac:dyDescent="0.25">
      <c r="B16" s="107"/>
      <c r="C16" s="4"/>
      <c r="D16" s="4"/>
      <c r="E16" s="4"/>
      <c r="F16" s="31"/>
      <c r="G16" s="31"/>
      <c r="H16" s="31"/>
      <c r="I16" s="31"/>
      <c r="J16" s="31"/>
      <c r="K16" s="31"/>
      <c r="L16" s="31"/>
      <c r="M16" s="31"/>
      <c r="N16" s="31"/>
      <c r="O16" s="31"/>
      <c r="P16" s="31"/>
      <c r="Q16" s="31"/>
      <c r="R16" s="31"/>
      <c r="S16" s="31"/>
      <c r="T16" s="31"/>
      <c r="U16" s="31"/>
      <c r="V16" s="31"/>
      <c r="W16" s="180"/>
      <c r="X16"/>
      <c r="Y16"/>
      <c r="Z16"/>
      <c r="AA16"/>
      <c r="AB16"/>
      <c r="AC16"/>
      <c r="AD16"/>
      <c r="AE16"/>
      <c r="AF16"/>
      <c r="AG16"/>
      <c r="AH16"/>
      <c r="AI16"/>
      <c r="AJ16"/>
      <c r="AK16"/>
      <c r="AL16"/>
      <c r="AM16"/>
      <c r="AN16"/>
      <c r="AO16"/>
      <c r="AP16"/>
      <c r="AQ16"/>
      <c r="AR16"/>
      <c r="AS16"/>
      <c r="AT16"/>
      <c r="AU16"/>
      <c r="AV16"/>
      <c r="AW16"/>
    </row>
    <row r="17" spans="2:59" ht="12.75" customHeight="1" x14ac:dyDescent="0.25">
      <c r="B17" s="107"/>
      <c r="C17" s="4"/>
      <c r="D17" s="4"/>
      <c r="E17" s="242" t="s">
        <v>267</v>
      </c>
      <c r="F17" s="242"/>
      <c r="G17" s="242"/>
      <c r="H17" s="242"/>
      <c r="I17" s="242"/>
      <c r="J17" s="242"/>
      <c r="K17" s="242"/>
      <c r="L17" s="242"/>
      <c r="M17" s="242"/>
      <c r="N17" s="242"/>
      <c r="O17" s="242"/>
      <c r="P17" s="242"/>
      <c r="Q17" s="242"/>
      <c r="R17" s="242"/>
      <c r="S17" s="242"/>
      <c r="T17" s="242"/>
      <c r="U17" s="242"/>
      <c r="V17" s="4"/>
      <c r="W17" s="180"/>
      <c r="X17"/>
      <c r="Y17"/>
      <c r="Z17"/>
      <c r="AA17"/>
      <c r="AB17"/>
      <c r="AC17"/>
      <c r="AD17"/>
      <c r="AE17"/>
      <c r="AF17"/>
      <c r="AG17"/>
      <c r="AH17"/>
      <c r="AI17"/>
      <c r="AJ17"/>
      <c r="AK17"/>
      <c r="AL17"/>
      <c r="AM17"/>
      <c r="AN17"/>
      <c r="AO17"/>
      <c r="AP17"/>
      <c r="AQ17"/>
      <c r="AR17"/>
      <c r="AS17"/>
      <c r="AT17"/>
      <c r="AU17"/>
      <c r="AV17"/>
      <c r="AW17"/>
    </row>
    <row r="18" spans="2:59" ht="15" customHeight="1" x14ac:dyDescent="0.25">
      <c r="B18" s="107"/>
      <c r="C18" s="4"/>
      <c r="D18" s="31"/>
      <c r="E18" s="242"/>
      <c r="F18" s="242"/>
      <c r="G18" s="242"/>
      <c r="H18" s="242"/>
      <c r="I18" s="242"/>
      <c r="J18" s="242"/>
      <c r="K18" s="242"/>
      <c r="L18" s="242"/>
      <c r="M18" s="242"/>
      <c r="N18" s="242"/>
      <c r="O18" s="242"/>
      <c r="P18" s="242"/>
      <c r="Q18" s="242"/>
      <c r="R18" s="242"/>
      <c r="S18" s="242"/>
      <c r="T18" s="242"/>
      <c r="U18" s="242"/>
      <c r="V18" s="4"/>
      <c r="W18" s="180"/>
      <c r="X18"/>
      <c r="Y18"/>
      <c r="Z18"/>
      <c r="AA18"/>
      <c r="AB18"/>
      <c r="AC18"/>
      <c r="AD18"/>
      <c r="AE18"/>
      <c r="AF18"/>
      <c r="AG18"/>
      <c r="AH18"/>
      <c r="AI18"/>
      <c r="AJ18"/>
      <c r="AK18"/>
      <c r="AL18"/>
      <c r="AM18"/>
      <c r="AN18"/>
      <c r="AO18"/>
      <c r="AP18"/>
      <c r="AQ18"/>
      <c r="AR18"/>
      <c r="AS18"/>
      <c r="AT18"/>
      <c r="AU18"/>
      <c r="AV18"/>
      <c r="AW18"/>
    </row>
    <row r="19" spans="2:59" ht="15" customHeight="1" x14ac:dyDescent="0.25">
      <c r="B19" s="107"/>
      <c r="C19" s="4"/>
      <c r="D19" s="31"/>
      <c r="E19" s="242"/>
      <c r="F19" s="242"/>
      <c r="G19" s="242"/>
      <c r="H19" s="242"/>
      <c r="I19" s="242"/>
      <c r="J19" s="242"/>
      <c r="K19" s="242"/>
      <c r="L19" s="242"/>
      <c r="M19" s="242"/>
      <c r="N19" s="242"/>
      <c r="O19" s="242"/>
      <c r="P19" s="242"/>
      <c r="Q19" s="242"/>
      <c r="R19" s="242"/>
      <c r="S19" s="242"/>
      <c r="T19" s="242"/>
      <c r="U19" s="242"/>
      <c r="V19" s="4"/>
      <c r="W19" s="180"/>
      <c r="X19"/>
      <c r="Y19"/>
      <c r="Z19"/>
      <c r="AA19"/>
      <c r="AB19"/>
      <c r="AC19"/>
      <c r="AD19"/>
      <c r="AE19"/>
      <c r="AF19"/>
      <c r="AG19"/>
      <c r="AH19"/>
      <c r="AI19"/>
      <c r="AJ19"/>
      <c r="AK19"/>
      <c r="AL19"/>
      <c r="AM19"/>
      <c r="AN19"/>
      <c r="AO19"/>
      <c r="AP19"/>
      <c r="AQ19"/>
      <c r="AR19"/>
      <c r="AS19"/>
      <c r="AT19"/>
      <c r="AU19"/>
      <c r="AV19"/>
      <c r="AW19"/>
      <c r="AX19"/>
      <c r="AY19"/>
      <c r="AZ19"/>
      <c r="BA19"/>
    </row>
    <row r="20" spans="2:59" ht="15" customHeight="1" x14ac:dyDescent="0.25">
      <c r="B20" s="107"/>
      <c r="C20" s="4"/>
      <c r="D20" s="31"/>
      <c r="E20" s="31"/>
      <c r="F20" s="31"/>
      <c r="G20" s="31"/>
      <c r="H20" s="31"/>
      <c r="I20" s="31"/>
      <c r="J20" s="31"/>
      <c r="K20" s="31"/>
      <c r="L20" s="31"/>
      <c r="M20" s="31"/>
      <c r="N20" s="31"/>
      <c r="O20" s="31"/>
      <c r="P20" s="31"/>
      <c r="Q20" s="31"/>
      <c r="R20" s="31"/>
      <c r="S20" s="31"/>
      <c r="T20" s="31"/>
      <c r="U20" s="31"/>
      <c r="V20" s="31"/>
      <c r="W20" s="180"/>
      <c r="X20"/>
      <c r="Y20"/>
      <c r="Z20"/>
      <c r="AA20"/>
      <c r="AB20"/>
      <c r="AC20"/>
      <c r="AD20"/>
      <c r="AE20"/>
      <c r="AF20"/>
      <c r="AG20"/>
      <c r="AH20"/>
      <c r="AI20"/>
      <c r="AJ20"/>
      <c r="AK20"/>
      <c r="AL20"/>
      <c r="AM20"/>
      <c r="AN20"/>
      <c r="AO20"/>
      <c r="AP20"/>
      <c r="AQ20"/>
      <c r="AR20"/>
      <c r="AS20"/>
      <c r="AT20"/>
      <c r="AU20"/>
      <c r="AV20"/>
      <c r="AW20"/>
      <c r="AX20"/>
      <c r="AY20"/>
      <c r="AZ20"/>
      <c r="BA20"/>
    </row>
    <row r="21" spans="2:59" ht="15" customHeight="1" x14ac:dyDescent="0.25">
      <c r="B21" s="107"/>
      <c r="C21" s="4"/>
      <c r="D21" s="31"/>
      <c r="E21" s="31"/>
      <c r="F21" s="31"/>
      <c r="G21" s="31"/>
      <c r="H21" s="31"/>
      <c r="I21" s="31"/>
      <c r="J21" s="4"/>
      <c r="K21" s="4"/>
      <c r="L21" s="4"/>
      <c r="M21" s="4"/>
      <c r="N21" s="4"/>
      <c r="O21" s="4"/>
      <c r="P21" s="4"/>
      <c r="Q21" s="4"/>
      <c r="R21" s="4"/>
      <c r="S21" s="4"/>
      <c r="T21" s="4"/>
      <c r="U21" s="4"/>
      <c r="V21" s="4"/>
      <c r="W21" s="180"/>
      <c r="X21"/>
      <c r="Y21"/>
      <c r="Z21"/>
      <c r="AA21"/>
      <c r="AB21"/>
      <c r="AC21"/>
      <c r="AD21"/>
      <c r="AE21"/>
      <c r="AF21"/>
      <c r="AG21"/>
      <c r="AH21"/>
      <c r="AI21"/>
      <c r="AJ21"/>
      <c r="AK21"/>
      <c r="AL21"/>
      <c r="AM21"/>
      <c r="AN21"/>
      <c r="AO21"/>
      <c r="AP21"/>
      <c r="AQ21"/>
      <c r="AR21"/>
      <c r="AS21"/>
      <c r="AT21"/>
      <c r="AU21"/>
      <c r="AV21"/>
      <c r="AW21"/>
      <c r="AX21"/>
      <c r="AY21"/>
      <c r="AZ21"/>
      <c r="BA21"/>
    </row>
    <row r="22" spans="2:59" ht="15" customHeight="1" x14ac:dyDescent="0.25">
      <c r="B22" s="107"/>
      <c r="C22" s="4"/>
      <c r="D22" s="31"/>
      <c r="E22"/>
      <c r="F22"/>
      <c r="G22" s="243" t="s">
        <v>159</v>
      </c>
      <c r="H22" s="243"/>
      <c r="I22" s="270" t="s">
        <v>250</v>
      </c>
      <c r="J22" s="270"/>
      <c r="K22" s="270"/>
      <c r="L22" s="270"/>
      <c r="M22" s="270"/>
      <c r="N22" s="270"/>
      <c r="O22" s="270"/>
      <c r="P22" s="270"/>
      <c r="Q22" s="270"/>
      <c r="R22" s="270"/>
      <c r="S22" s="270"/>
      <c r="T22"/>
      <c r="U22" s="4"/>
      <c r="V22" s="4"/>
      <c r="W22" s="180"/>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row>
    <row r="23" spans="2:59" ht="15" customHeight="1" x14ac:dyDescent="0.25">
      <c r="B23" s="107"/>
      <c r="C23" s="4"/>
      <c r="D23" s="31"/>
      <c r="E23" s="31"/>
      <c r="F23" s="31"/>
      <c r="G23" s="243"/>
      <c r="H23" s="243"/>
      <c r="I23" s="270"/>
      <c r="J23" s="270"/>
      <c r="K23" s="270"/>
      <c r="L23" s="270"/>
      <c r="M23" s="270"/>
      <c r="N23" s="270"/>
      <c r="O23" s="270"/>
      <c r="P23" s="270"/>
      <c r="Q23" s="270"/>
      <c r="R23" s="270"/>
      <c r="S23" s="270"/>
      <c r="T23" s="4"/>
      <c r="U23" s="4"/>
      <c r="V23" s="4"/>
      <c r="W23" s="180"/>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row>
    <row r="24" spans="2:59" ht="15" customHeight="1" x14ac:dyDescent="0.25">
      <c r="B24" s="107"/>
      <c r="C24" s="4"/>
      <c r="D24" s="31"/>
      <c r="E24" s="4"/>
      <c r="F24" s="4"/>
      <c r="T24" s="4"/>
      <c r="U24" s="4"/>
      <c r="V24" s="4"/>
      <c r="W24" s="180"/>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row>
    <row r="25" spans="2:59" ht="15" customHeight="1" x14ac:dyDescent="0.25">
      <c r="B25" s="107"/>
      <c r="C25" s="4"/>
      <c r="D25" s="31"/>
      <c r="E25" s="31"/>
      <c r="F25" s="31"/>
      <c r="G25" s="31"/>
      <c r="H25" s="31"/>
      <c r="I25" s="31"/>
      <c r="J25" s="31"/>
      <c r="K25" s="31"/>
      <c r="L25" s="31"/>
      <c r="M25" s="31"/>
      <c r="N25" s="31"/>
      <c r="O25" s="31"/>
      <c r="P25" s="31"/>
      <c r="Q25" s="31"/>
      <c r="R25" s="31"/>
      <c r="S25" s="31"/>
      <c r="T25" s="31"/>
      <c r="U25" s="31"/>
      <c r="V25" s="31"/>
      <c r="W25" s="180"/>
      <c r="X25"/>
      <c r="Y25"/>
      <c r="Z25"/>
      <c r="AA25"/>
      <c r="AB25"/>
      <c r="AC25"/>
      <c r="AD25"/>
      <c r="AE25"/>
      <c r="AF25"/>
      <c r="AG25"/>
      <c r="AH25"/>
      <c r="AI25"/>
      <c r="AJ25"/>
      <c r="AK25"/>
      <c r="AL25"/>
      <c r="AM25"/>
      <c r="AN25"/>
      <c r="AO25"/>
      <c r="AP25"/>
      <c r="AQ25"/>
      <c r="AR25"/>
      <c r="AS25"/>
      <c r="AT25"/>
      <c r="AU25"/>
      <c r="AV25"/>
      <c r="AW25"/>
    </row>
    <row r="26" spans="2:59" ht="15" customHeight="1" x14ac:dyDescent="0.25">
      <c r="B26" s="107"/>
      <c r="C26" s="4"/>
      <c r="D26" s="31"/>
      <c r="E26" s="235" t="s">
        <v>281</v>
      </c>
      <c r="F26" s="235"/>
      <c r="G26" s="235"/>
      <c r="H26" s="235"/>
      <c r="I26" s="235"/>
      <c r="J26" s="235"/>
      <c r="K26" s="235"/>
      <c r="L26" s="235"/>
      <c r="M26" s="235"/>
      <c r="N26" s="235"/>
      <c r="O26" s="235"/>
      <c r="P26" s="235"/>
      <c r="Q26" s="235"/>
      <c r="R26" s="235"/>
      <c r="S26" s="235"/>
      <c r="T26" s="235"/>
      <c r="U26" s="235"/>
      <c r="V26" s="31"/>
      <c r="W26" s="180"/>
      <c r="X26"/>
      <c r="Y26"/>
      <c r="Z26"/>
      <c r="AA26"/>
      <c r="AB26"/>
      <c r="AC26"/>
      <c r="AD26"/>
      <c r="AE26"/>
      <c r="AF26"/>
      <c r="AG26"/>
      <c r="AH26"/>
      <c r="AI26"/>
      <c r="AJ26"/>
      <c r="AK26"/>
      <c r="AL26"/>
      <c r="AM26"/>
      <c r="AN26"/>
      <c r="AO26"/>
      <c r="AP26"/>
      <c r="AQ26"/>
      <c r="AR26"/>
      <c r="AS26"/>
      <c r="AT26"/>
      <c r="AU26"/>
      <c r="AV26"/>
      <c r="AW26"/>
    </row>
    <row r="27" spans="2:59" ht="15" customHeight="1" x14ac:dyDescent="0.25">
      <c r="B27" s="107"/>
      <c r="C27" s="4"/>
      <c r="D27" s="31"/>
      <c r="E27" s="235"/>
      <c r="F27" s="235"/>
      <c r="G27" s="235"/>
      <c r="H27" s="235"/>
      <c r="I27" s="235"/>
      <c r="J27" s="235"/>
      <c r="K27" s="235"/>
      <c r="L27" s="235"/>
      <c r="M27" s="235"/>
      <c r="N27" s="235"/>
      <c r="O27" s="235"/>
      <c r="P27" s="235"/>
      <c r="Q27" s="235"/>
      <c r="R27" s="235"/>
      <c r="S27" s="235"/>
      <c r="T27" s="235"/>
      <c r="U27" s="235"/>
      <c r="V27" s="31"/>
      <c r="W27" s="180"/>
      <c r="X27"/>
      <c r="Y27"/>
      <c r="Z27"/>
      <c r="AA27"/>
      <c r="AB27"/>
      <c r="AC27"/>
      <c r="AD27"/>
      <c r="AE27"/>
      <c r="AF27"/>
      <c r="AG27"/>
      <c r="AH27"/>
      <c r="AI27"/>
      <c r="AJ27"/>
      <c r="AK27"/>
      <c r="AL27"/>
      <c r="AM27"/>
      <c r="AN27"/>
      <c r="AO27"/>
      <c r="AP27"/>
      <c r="AQ27"/>
      <c r="AR27"/>
      <c r="AS27"/>
      <c r="AT27"/>
      <c r="AU27"/>
      <c r="AV27"/>
      <c r="AW27"/>
    </row>
    <row r="28" spans="2:59" ht="15" customHeight="1" x14ac:dyDescent="0.25">
      <c r="B28" s="107"/>
      <c r="C28" s="4"/>
      <c r="D28" s="31"/>
      <c r="E28" s="235"/>
      <c r="F28" s="235"/>
      <c r="G28" s="235"/>
      <c r="H28" s="235"/>
      <c r="I28" s="235"/>
      <c r="J28" s="235"/>
      <c r="K28" s="235"/>
      <c r="L28" s="235"/>
      <c r="M28" s="235"/>
      <c r="N28" s="235"/>
      <c r="O28" s="235"/>
      <c r="P28" s="235"/>
      <c r="Q28" s="235"/>
      <c r="R28" s="235"/>
      <c r="S28" s="235"/>
      <c r="T28" s="235"/>
      <c r="U28" s="235"/>
      <c r="V28" s="31"/>
      <c r="W28" s="180"/>
      <c r="X28"/>
      <c r="Y28"/>
      <c r="Z28"/>
      <c r="AA28"/>
      <c r="AB28"/>
      <c r="AC28"/>
      <c r="AD28"/>
      <c r="AE28"/>
      <c r="AF28"/>
      <c r="AG28"/>
      <c r="AH28"/>
      <c r="AI28"/>
      <c r="AJ28"/>
      <c r="AK28"/>
      <c r="AL28"/>
      <c r="AM28"/>
      <c r="AN28"/>
      <c r="AO28"/>
      <c r="AP28"/>
      <c r="AQ28"/>
      <c r="AR28"/>
      <c r="AS28"/>
      <c r="AT28"/>
      <c r="AU28"/>
      <c r="AV28"/>
      <c r="AW28"/>
      <c r="AX28"/>
      <c r="AY28"/>
      <c r="AZ28"/>
      <c r="BA28"/>
    </row>
    <row r="29" spans="2:59" ht="15" customHeight="1" x14ac:dyDescent="0.25">
      <c r="B29" s="107"/>
      <c r="C29" s="4"/>
      <c r="D29" s="4"/>
      <c r="E29" s="4"/>
      <c r="F29" s="4"/>
      <c r="G29" s="4"/>
      <c r="H29" s="4"/>
      <c r="I29" s="4"/>
      <c r="J29" s="4"/>
      <c r="K29" s="4"/>
      <c r="L29" s="4"/>
      <c r="M29" s="4"/>
      <c r="N29" s="4"/>
      <c r="O29" s="4"/>
      <c r="P29" s="4"/>
      <c r="Q29" s="4"/>
      <c r="R29" s="4"/>
      <c r="S29" s="4"/>
      <c r="T29" s="4"/>
      <c r="U29" s="4"/>
      <c r="V29" s="4"/>
      <c r="W29" s="180"/>
      <c r="X29"/>
      <c r="Y29"/>
      <c r="Z29"/>
      <c r="AA29"/>
      <c r="AB29"/>
      <c r="AC29"/>
      <c r="AD29"/>
      <c r="AE29"/>
      <c r="AF29"/>
      <c r="AG29"/>
      <c r="AH29"/>
      <c r="AI29"/>
      <c r="AJ29"/>
      <c r="AK29"/>
      <c r="AL29"/>
      <c r="AM29"/>
      <c r="AN29"/>
      <c r="AO29"/>
      <c r="AP29"/>
      <c r="AQ29"/>
      <c r="AR29"/>
      <c r="AS29"/>
      <c r="AT29"/>
      <c r="AU29"/>
      <c r="AV29"/>
      <c r="AW29"/>
      <c r="AX29"/>
      <c r="AY29"/>
      <c r="AZ29"/>
      <c r="BA29"/>
    </row>
    <row r="30" spans="2:59" ht="15" customHeight="1" thickBot="1" x14ac:dyDescent="0.3">
      <c r="B30" s="107"/>
      <c r="C30" s="4"/>
      <c r="D30" s="4"/>
      <c r="E30" s="4"/>
      <c r="F30" s="4"/>
      <c r="G30" s="4"/>
      <c r="H30" s="4"/>
      <c r="I30" s="4"/>
      <c r="J30" s="4"/>
      <c r="K30" s="4"/>
      <c r="L30" s="4"/>
      <c r="M30" s="4"/>
      <c r="N30" s="4"/>
      <c r="O30" s="4"/>
      <c r="P30" s="4"/>
      <c r="Q30" s="4"/>
      <c r="R30" s="4"/>
      <c r="S30" s="4"/>
      <c r="T30" s="4"/>
      <c r="U30" s="4"/>
      <c r="V30" s="4"/>
      <c r="W30" s="180"/>
      <c r="X30"/>
      <c r="Y30"/>
      <c r="Z30"/>
      <c r="AA30"/>
      <c r="AB30"/>
      <c r="AC30"/>
      <c r="AD30"/>
      <c r="AE30"/>
      <c r="AF30"/>
      <c r="AG30"/>
      <c r="AH30"/>
      <c r="AI30"/>
      <c r="AJ30"/>
      <c r="AK30"/>
      <c r="AL30"/>
      <c r="AM30"/>
      <c r="AN30"/>
      <c r="AO30"/>
      <c r="AP30"/>
      <c r="AQ30"/>
      <c r="AR30"/>
      <c r="AS30"/>
      <c r="AT30"/>
      <c r="AU30"/>
      <c r="AV30"/>
      <c r="AW30"/>
      <c r="AX30"/>
      <c r="AY30"/>
      <c r="AZ30"/>
      <c r="BA30"/>
    </row>
    <row r="31" spans="2:59" ht="15" customHeight="1" x14ac:dyDescent="0.25">
      <c r="B31" s="107"/>
      <c r="C31" s="4"/>
      <c r="D31" s="227" t="s">
        <v>79</v>
      </c>
      <c r="E31" s="228"/>
      <c r="F31" s="181"/>
      <c r="G31" s="231">
        <f>AdvancedDesign!G38</f>
        <v>2</v>
      </c>
      <c r="H31" s="233" t="s">
        <v>26</v>
      </c>
      <c r="I31" s="181"/>
      <c r="J31" s="231">
        <f>AdvancedDesign!J38</f>
        <v>2</v>
      </c>
      <c r="K31" s="182"/>
      <c r="L31" s="136"/>
      <c r="M31" s="227" t="s">
        <v>255</v>
      </c>
      <c r="N31" s="228"/>
      <c r="O31" s="228"/>
      <c r="P31" s="228"/>
      <c r="Q31" s="228"/>
      <c r="R31" s="183"/>
      <c r="S31" s="183"/>
      <c r="T31" s="184"/>
      <c r="U31" s="4"/>
      <c r="V31" s="4"/>
      <c r="W31" s="180"/>
      <c r="X31"/>
      <c r="Y31"/>
      <c r="Z31"/>
      <c r="AA31"/>
      <c r="AB31"/>
      <c r="AC31"/>
      <c r="AD31"/>
      <c r="AE31"/>
      <c r="AF31"/>
      <c r="AG31"/>
      <c r="AH31"/>
      <c r="AI31"/>
      <c r="AJ31"/>
      <c r="AK31"/>
      <c r="AL31"/>
      <c r="AM31"/>
      <c r="AN31"/>
      <c r="AO31"/>
      <c r="AP31"/>
      <c r="AQ31"/>
      <c r="AR31"/>
      <c r="AS31"/>
      <c r="AT31"/>
      <c r="AU31"/>
      <c r="AV31"/>
      <c r="AW31"/>
      <c r="AX31"/>
      <c r="AY31"/>
      <c r="AZ31"/>
      <c r="BA31"/>
    </row>
    <row r="32" spans="2:59" ht="15" customHeight="1" x14ac:dyDescent="0.25">
      <c r="B32" s="107"/>
      <c r="C32" s="4"/>
      <c r="D32" s="229"/>
      <c r="E32" s="230"/>
      <c r="F32" s="185"/>
      <c r="G32" s="232"/>
      <c r="H32" s="234"/>
      <c r="I32" s="185"/>
      <c r="J32" s="232"/>
      <c r="K32" s="186"/>
      <c r="L32" s="136"/>
      <c r="M32" s="229"/>
      <c r="N32" s="230"/>
      <c r="O32" s="230"/>
      <c r="P32" s="230"/>
      <c r="Q32" s="230"/>
      <c r="R32" s="185"/>
      <c r="S32" s="136"/>
      <c r="T32" s="187"/>
      <c r="U32" s="4"/>
      <c r="V32" s="4"/>
      <c r="W32" s="180"/>
      <c r="X32"/>
      <c r="Y32"/>
      <c r="Z32"/>
      <c r="AA32"/>
      <c r="AB32"/>
      <c r="AC32"/>
      <c r="AD32"/>
      <c r="AE32"/>
      <c r="AF32"/>
      <c r="AG32"/>
      <c r="AH32"/>
      <c r="AI32"/>
      <c r="AJ32"/>
      <c r="AK32"/>
      <c r="AL32"/>
      <c r="AM32"/>
      <c r="AN32"/>
      <c r="AO32"/>
      <c r="AP32"/>
      <c r="AQ32"/>
      <c r="AR32"/>
      <c r="AS32"/>
      <c r="AT32"/>
      <c r="AU32"/>
      <c r="AV32"/>
      <c r="AW32"/>
      <c r="AX32"/>
      <c r="AY32"/>
      <c r="AZ32"/>
      <c r="BA32"/>
    </row>
    <row r="33" spans="2:53" ht="15" customHeight="1" x14ac:dyDescent="0.25">
      <c r="B33" s="107"/>
      <c r="C33" s="4"/>
      <c r="D33" s="229"/>
      <c r="E33" s="230"/>
      <c r="F33" s="136"/>
      <c r="G33" s="124" t="s">
        <v>193</v>
      </c>
      <c r="H33" s="136"/>
      <c r="I33" s="136"/>
      <c r="J33" s="124" t="s">
        <v>167</v>
      </c>
      <c r="K33" s="186"/>
      <c r="L33" s="136"/>
      <c r="M33" s="100"/>
      <c r="T33" s="187"/>
      <c r="U33" s="4"/>
      <c r="V33" s="4"/>
      <c r="W33" s="180"/>
      <c r="X33"/>
      <c r="Y33"/>
      <c r="Z33"/>
      <c r="AA33"/>
      <c r="AB33"/>
      <c r="AC33"/>
      <c r="AD33"/>
      <c r="AE33"/>
      <c r="AF33"/>
      <c r="AG33"/>
      <c r="AH33"/>
      <c r="AI33"/>
      <c r="AJ33"/>
      <c r="AK33"/>
      <c r="AL33"/>
      <c r="AM33"/>
      <c r="AN33"/>
      <c r="AO33"/>
      <c r="AP33"/>
      <c r="AQ33"/>
      <c r="AR33"/>
      <c r="AS33"/>
      <c r="AT33"/>
      <c r="AU33"/>
      <c r="AV33"/>
      <c r="AW33"/>
      <c r="AX33"/>
      <c r="AY33"/>
      <c r="AZ33"/>
      <c r="BA33"/>
    </row>
    <row r="34" spans="2:53" ht="15" customHeight="1" x14ac:dyDescent="0.25">
      <c r="B34" s="107"/>
      <c r="C34" s="4"/>
      <c r="D34" s="100"/>
      <c r="E34" s="129" t="s">
        <v>268</v>
      </c>
      <c r="F34" s="136"/>
      <c r="G34" s="136"/>
      <c r="H34" s="136"/>
      <c r="I34" s="136"/>
      <c r="J34" s="136"/>
      <c r="K34" s="186"/>
      <c r="L34" s="136"/>
      <c r="M34" s="190"/>
      <c r="N34" s="130" t="s">
        <v>222</v>
      </c>
      <c r="O34" s="185"/>
      <c r="P34" s="185"/>
      <c r="Q34" s="188"/>
      <c r="R34" s="185"/>
      <c r="S34" s="189">
        <f>AdvancedDesign!S40</f>
        <v>1</v>
      </c>
      <c r="T34" s="186"/>
      <c r="U34" s="4"/>
      <c r="V34" s="4"/>
      <c r="W34" s="180"/>
      <c r="X34"/>
      <c r="Y34"/>
      <c r="Z34"/>
      <c r="AA34"/>
      <c r="AB34"/>
      <c r="AC34"/>
      <c r="AD34"/>
      <c r="AE34"/>
      <c r="AF34"/>
      <c r="AG34"/>
      <c r="AH34"/>
      <c r="AI34"/>
      <c r="AJ34"/>
      <c r="AK34"/>
      <c r="AL34"/>
      <c r="AM34"/>
      <c r="AN34"/>
      <c r="AO34"/>
      <c r="AP34"/>
      <c r="AQ34"/>
      <c r="AR34"/>
      <c r="AS34"/>
      <c r="AT34"/>
      <c r="AU34"/>
      <c r="AV34"/>
      <c r="AW34"/>
      <c r="AX34"/>
      <c r="AY34"/>
      <c r="AZ34"/>
      <c r="BA34"/>
    </row>
    <row r="35" spans="2:53" ht="15" customHeight="1" x14ac:dyDescent="0.25">
      <c r="B35" s="107"/>
      <c r="C35" s="4"/>
      <c r="D35" s="192"/>
      <c r="E35" s="157" t="s">
        <v>269</v>
      </c>
      <c r="F35" s="193"/>
      <c r="G35" s="188"/>
      <c r="H35" s="136"/>
      <c r="I35" s="136"/>
      <c r="J35" s="194" t="str">
        <f>IF(SolutionTemplateName="","",Workload)</f>
        <v>Hyper-V</v>
      </c>
      <c r="K35" s="186"/>
      <c r="L35" s="136"/>
      <c r="M35" s="195"/>
      <c r="N35" s="188"/>
      <c r="O35" s="157" t="s">
        <v>244</v>
      </c>
      <c r="P35" s="136"/>
      <c r="Q35" s="136"/>
      <c r="R35" s="185"/>
      <c r="S35" s="196">
        <f>AdvancedDesign!S43</f>
        <v>3.645791307091713</v>
      </c>
      <c r="T35" s="186"/>
      <c r="U35" s="4"/>
      <c r="V35" s="4"/>
      <c r="W35" s="180"/>
      <c r="X35"/>
      <c r="Y35"/>
      <c r="Z35"/>
      <c r="AA35"/>
      <c r="AB35"/>
      <c r="AC35"/>
      <c r="AD35"/>
      <c r="AE35"/>
      <c r="AF35"/>
      <c r="AM35"/>
      <c r="AN35"/>
      <c r="AO35"/>
      <c r="AP35"/>
      <c r="AQ35"/>
      <c r="AR35"/>
      <c r="AS35"/>
      <c r="AT35"/>
      <c r="AU35"/>
      <c r="AV35"/>
      <c r="AW35"/>
    </row>
    <row r="36" spans="2:53" ht="15" customHeight="1" x14ac:dyDescent="0.45">
      <c r="B36" s="107"/>
      <c r="C36" s="4"/>
      <c r="D36" s="192"/>
      <c r="E36" s="137" t="s">
        <v>270</v>
      </c>
      <c r="F36" s="136"/>
      <c r="G36" s="136"/>
      <c r="H36" s="136"/>
      <c r="I36" s="136"/>
      <c r="J36" s="194">
        <f>IF(SolutionTemplateName="","",WorkloadPeakIops)</f>
        <v>20000</v>
      </c>
      <c r="K36" s="186"/>
      <c r="L36" s="136"/>
      <c r="M36" s="192"/>
      <c r="N36" s="136"/>
      <c r="O36" s="157" t="s">
        <v>245</v>
      </c>
      <c r="P36" s="136"/>
      <c r="Q36" s="136"/>
      <c r="R36" s="136"/>
      <c r="S36" s="196">
        <f>AdvancedDesign!S44</f>
        <v>0</v>
      </c>
      <c r="T36" s="186"/>
      <c r="U36" s="4"/>
      <c r="V36" s="25"/>
      <c r="W36" s="180"/>
      <c r="X36"/>
      <c r="Y36"/>
      <c r="Z36"/>
      <c r="AA36"/>
      <c r="AB36"/>
      <c r="AC36"/>
      <c r="AD36"/>
      <c r="AE36"/>
      <c r="AF36"/>
      <c r="AM36"/>
      <c r="AN36"/>
      <c r="AO36"/>
      <c r="AP36"/>
      <c r="AQ36"/>
      <c r="AR36"/>
      <c r="AS36"/>
      <c r="AT36"/>
      <c r="AU36"/>
      <c r="AV36"/>
      <c r="AW36"/>
    </row>
    <row r="37" spans="2:53" ht="15" customHeight="1" x14ac:dyDescent="0.45">
      <c r="B37" s="107"/>
      <c r="C37" s="4"/>
      <c r="D37" s="192"/>
      <c r="E37" s="137" t="s">
        <v>271</v>
      </c>
      <c r="F37" s="136"/>
      <c r="G37" s="136"/>
      <c r="H37" s="136"/>
      <c r="I37" s="136"/>
      <c r="J37" s="194">
        <f>IF(SolutionTemplateName="","",WorkloadBaselineIops)</f>
        <v>1000</v>
      </c>
      <c r="K37" s="186"/>
      <c r="L37" s="136"/>
      <c r="M37" s="192"/>
      <c r="N37" s="136"/>
      <c r="T37" s="186"/>
      <c r="U37" s="4"/>
      <c r="V37" s="25"/>
      <c r="W37" s="180"/>
      <c r="X37"/>
      <c r="Y37"/>
      <c r="Z37"/>
      <c r="AA37"/>
      <c r="AB37"/>
      <c r="AC37"/>
      <c r="AD37"/>
      <c r="AE37"/>
      <c r="AF37"/>
      <c r="AG37"/>
      <c r="AH37"/>
      <c r="AI37"/>
      <c r="AJ37"/>
      <c r="AK37"/>
      <c r="AL37"/>
      <c r="AM37"/>
      <c r="AN37"/>
      <c r="AO37"/>
      <c r="AP37"/>
      <c r="AQ37"/>
      <c r="AR37"/>
      <c r="AS37"/>
      <c r="AT37"/>
      <c r="AU37"/>
      <c r="AV37"/>
      <c r="AW37"/>
    </row>
    <row r="38" spans="2:53" ht="15" customHeight="1" x14ac:dyDescent="0.25">
      <c r="B38" s="107"/>
      <c r="C38" s="4"/>
      <c r="D38" s="192"/>
      <c r="E38" s="135" t="s">
        <v>272</v>
      </c>
      <c r="F38" s="4"/>
      <c r="G38" s="4"/>
      <c r="H38" s="4"/>
      <c r="I38" s="4"/>
      <c r="J38" s="4"/>
      <c r="K38" s="186"/>
      <c r="L38" s="136"/>
      <c r="M38" s="192"/>
      <c r="N38" s="129" t="s">
        <v>256</v>
      </c>
      <c r="O38" s="136"/>
      <c r="P38" s="136"/>
      <c r="Q38" s="136"/>
      <c r="R38" s="136"/>
      <c r="S38" s="189">
        <f>AdvancedDesign!S45</f>
        <v>8</v>
      </c>
      <c r="T38" s="186"/>
      <c r="U38" s="4"/>
      <c r="V38" s="4"/>
      <c r="W38" s="180"/>
      <c r="X38"/>
      <c r="Y38"/>
      <c r="Z38"/>
      <c r="AA38"/>
      <c r="AB38"/>
      <c r="AC38"/>
      <c r="AD38"/>
      <c r="AE38"/>
      <c r="AF38"/>
      <c r="AG38"/>
      <c r="AH38"/>
      <c r="AI38"/>
      <c r="AJ38"/>
      <c r="AK38"/>
      <c r="AL38"/>
      <c r="AM38"/>
      <c r="AN38"/>
      <c r="AO38"/>
      <c r="AP38"/>
      <c r="AQ38"/>
      <c r="AR38"/>
      <c r="AS38"/>
      <c r="AT38"/>
      <c r="AU38"/>
      <c r="AV38"/>
      <c r="AW38"/>
    </row>
    <row r="39" spans="2:53" ht="15" customHeight="1" x14ac:dyDescent="0.25">
      <c r="B39" s="107"/>
      <c r="C39" s="4"/>
      <c r="D39" s="192"/>
      <c r="E39" s="157" t="s">
        <v>273</v>
      </c>
      <c r="F39" s="136"/>
      <c r="G39" s="136"/>
      <c r="H39" s="136"/>
      <c r="I39" s="136"/>
      <c r="J39" s="197">
        <f>RawCapacityInTB</f>
        <v>76.8</v>
      </c>
      <c r="K39" s="186"/>
      <c r="L39" s="136"/>
      <c r="M39" s="192"/>
      <c r="N39" s="136"/>
      <c r="O39" s="157" t="s">
        <v>280</v>
      </c>
      <c r="P39" s="198"/>
      <c r="Q39" s="136"/>
      <c r="R39" s="185"/>
      <c r="S39" s="206">
        <f>AdvancedDesign!S46</f>
        <v>4.1318359375</v>
      </c>
      <c r="T39" s="186"/>
      <c r="U39" s="4"/>
      <c r="V39" s="4"/>
      <c r="W39" s="180"/>
      <c r="X39"/>
      <c r="Y39"/>
      <c r="Z39"/>
      <c r="AA39"/>
      <c r="AB39"/>
      <c r="AC39"/>
      <c r="AD39"/>
      <c r="AE39"/>
      <c r="AF39"/>
      <c r="AM39"/>
      <c r="AN39"/>
      <c r="AO39"/>
      <c r="AP39"/>
      <c r="AQ39"/>
      <c r="AR39"/>
      <c r="AS39"/>
      <c r="AT39"/>
      <c r="AU39"/>
      <c r="AV39"/>
      <c r="AW39"/>
    </row>
    <row r="40" spans="2:53" ht="15" customHeight="1" x14ac:dyDescent="0.25">
      <c r="B40" s="107"/>
      <c r="C40" s="4"/>
      <c r="D40" s="192"/>
      <c r="E40" s="157" t="s">
        <v>274</v>
      </c>
      <c r="F40" s="136"/>
      <c r="G40" s="136"/>
      <c r="H40" s="136"/>
      <c r="I40" s="136"/>
      <c r="J40" s="197">
        <f>AdvancedDesign!J45</f>
        <v>36.344013258752</v>
      </c>
      <c r="K40" s="186"/>
      <c r="L40" s="136"/>
      <c r="M40" s="192"/>
      <c r="N40" s="136"/>
      <c r="O40" s="157" t="s">
        <v>246</v>
      </c>
      <c r="P40" s="136"/>
      <c r="Q40" s="136"/>
      <c r="R40" s="185"/>
      <c r="S40" s="199">
        <f>AdvancedDesign!S47</f>
        <v>3.8623046875</v>
      </c>
      <c r="T40" s="186"/>
      <c r="U40" s="31"/>
      <c r="V40" s="31"/>
      <c r="W40" s="180"/>
      <c r="X40"/>
      <c r="Y40"/>
      <c r="Z40"/>
      <c r="AA40"/>
      <c r="AB40"/>
      <c r="AC40"/>
      <c r="AD40"/>
      <c r="AE40"/>
      <c r="AF40"/>
      <c r="AM40"/>
      <c r="AN40"/>
      <c r="AO40"/>
      <c r="AP40"/>
      <c r="AQ40"/>
      <c r="AR40"/>
      <c r="AS40"/>
      <c r="AT40"/>
      <c r="AU40"/>
      <c r="AV40"/>
      <c r="AW40"/>
    </row>
    <row r="41" spans="2:53" ht="15" customHeight="1" x14ac:dyDescent="0.25">
      <c r="B41" s="107"/>
      <c r="C41" s="4"/>
      <c r="D41" s="192"/>
      <c r="E41" s="4" t="s">
        <v>299</v>
      </c>
      <c r="F41" s="4"/>
      <c r="G41" s="4"/>
      <c r="H41" s="4"/>
      <c r="I41" s="4"/>
      <c r="J41" s="191">
        <f>JbodCount</f>
        <v>2</v>
      </c>
      <c r="K41" s="186"/>
      <c r="L41" s="136"/>
      <c r="M41" s="192"/>
      <c r="N41" s="136"/>
      <c r="O41" s="157" t="s">
        <v>254</v>
      </c>
      <c r="P41" s="136"/>
      <c r="Q41" s="136"/>
      <c r="R41" s="185"/>
      <c r="S41" s="199">
        <f>AdvancedDesign!S48</f>
        <v>0.26953125</v>
      </c>
      <c r="T41" s="186"/>
      <c r="U41" s="31"/>
      <c r="V41" s="31"/>
      <c r="W41" s="180"/>
      <c r="X41"/>
      <c r="Y41"/>
      <c r="Z41"/>
      <c r="AA41"/>
      <c r="AB41"/>
      <c r="AC41"/>
      <c r="AD41"/>
      <c r="AE41"/>
      <c r="AF41"/>
      <c r="AG41"/>
      <c r="AH41"/>
      <c r="AI41"/>
      <c r="AJ41"/>
      <c r="AK41"/>
      <c r="AL41"/>
      <c r="AM41"/>
      <c r="AN41"/>
      <c r="AO41"/>
      <c r="AP41"/>
      <c r="AQ41"/>
      <c r="AR41"/>
      <c r="AS41"/>
      <c r="AT41"/>
      <c r="AU41"/>
      <c r="AV41"/>
      <c r="AW41"/>
    </row>
    <row r="42" spans="2:53" ht="15" customHeight="1" x14ac:dyDescent="0.25">
      <c r="B42" s="107"/>
      <c r="C42" s="4"/>
      <c r="D42" s="192"/>
      <c r="E42" s="157" t="s">
        <v>275</v>
      </c>
      <c r="F42" s="193"/>
      <c r="G42" s="188"/>
      <c r="H42" s="136"/>
      <c r="I42" s="136"/>
      <c r="J42" s="191">
        <f>DraftHddCount</f>
        <v>18</v>
      </c>
      <c r="K42" s="186"/>
      <c r="L42" s="136"/>
      <c r="M42" s="192"/>
      <c r="N42" s="136"/>
      <c r="O42" s="157" t="s">
        <v>192</v>
      </c>
      <c r="P42" s="136"/>
      <c r="Q42" s="136"/>
      <c r="R42" s="185"/>
      <c r="S42" s="189">
        <f>AdvancedDesign!S49</f>
        <v>3</v>
      </c>
      <c r="T42" s="186"/>
      <c r="U42" s="31"/>
      <c r="V42" s="31"/>
      <c r="W42" s="180"/>
      <c r="X42"/>
      <c r="Y42"/>
      <c r="Z42"/>
      <c r="AA42"/>
      <c r="AB42"/>
      <c r="AC42"/>
      <c r="AD42"/>
      <c r="AE42"/>
      <c r="AF42"/>
      <c r="AG42"/>
      <c r="AH42"/>
      <c r="AI42"/>
      <c r="AJ42"/>
      <c r="AK42"/>
      <c r="AL42"/>
      <c r="AM42"/>
      <c r="AN42"/>
      <c r="AO42"/>
      <c r="AP42"/>
      <c r="AQ42"/>
      <c r="AR42"/>
      <c r="AS42"/>
      <c r="AT42"/>
      <c r="AU42"/>
      <c r="AV42"/>
      <c r="AW42"/>
    </row>
    <row r="43" spans="2:53" ht="15" customHeight="1" x14ac:dyDescent="0.25">
      <c r="B43" s="107"/>
      <c r="C43" s="4"/>
      <c r="D43" s="192"/>
      <c r="E43" s="157" t="s">
        <v>276</v>
      </c>
      <c r="F43" s="193"/>
      <c r="G43" s="188"/>
      <c r="H43" s="136"/>
      <c r="I43" s="136"/>
      <c r="J43" s="191">
        <f>DraftSsdCount</f>
        <v>6</v>
      </c>
      <c r="K43" s="186"/>
      <c r="L43" s="136"/>
      <c r="M43" s="192"/>
      <c r="N43" s="136"/>
      <c r="O43" s="157"/>
      <c r="P43" s="136"/>
      <c r="Q43" s="136"/>
      <c r="R43" s="136"/>
      <c r="S43"/>
      <c r="T43" s="186"/>
      <c r="U43" s="4"/>
      <c r="V43" s="4"/>
      <c r="W43" s="180"/>
      <c r="X43"/>
      <c r="Y43"/>
      <c r="Z43"/>
      <c r="AA43"/>
      <c r="AB43"/>
      <c r="AC43"/>
      <c r="AD43"/>
      <c r="AE43"/>
      <c r="AF43"/>
      <c r="AG43"/>
      <c r="AH43"/>
      <c r="AI43"/>
      <c r="AJ43"/>
      <c r="AK43"/>
      <c r="AL43"/>
      <c r="AM43"/>
      <c r="AN43"/>
      <c r="AO43"/>
      <c r="AP43"/>
      <c r="AQ43"/>
      <c r="AR43"/>
      <c r="AS43"/>
      <c r="AT43"/>
      <c r="AU43"/>
      <c r="AV43"/>
      <c r="AW43"/>
    </row>
    <row r="44" spans="2:53" ht="15" customHeight="1" x14ac:dyDescent="0.25">
      <c r="B44" s="107"/>
      <c r="C44" s="4"/>
      <c r="D44" s="192"/>
      <c r="E44" s="157" t="s">
        <v>277</v>
      </c>
      <c r="F44" s="193"/>
      <c r="G44" s="188"/>
      <c r="H44" s="136"/>
      <c r="I44" s="136"/>
      <c r="J44" s="191">
        <f>AdvancedDesign!J50</f>
        <v>0</v>
      </c>
      <c r="K44" s="186"/>
      <c r="L44" s="136"/>
      <c r="M44" s="192"/>
      <c r="N44" s="136"/>
      <c r="O44" s="157"/>
      <c r="P44" s="136"/>
      <c r="Q44" s="136"/>
      <c r="R44" s="136"/>
      <c r="S44"/>
      <c r="T44" s="186"/>
      <c r="U44" s="4"/>
      <c r="V44" s="4"/>
      <c r="W44" s="180"/>
      <c r="X44"/>
      <c r="Y44"/>
      <c r="Z44"/>
      <c r="AA44"/>
      <c r="AB44"/>
      <c r="AC44"/>
      <c r="AD44"/>
      <c r="AE44"/>
      <c r="AF44"/>
      <c r="AG44"/>
      <c r="AH44"/>
      <c r="AI44"/>
      <c r="AJ44"/>
      <c r="AK44"/>
      <c r="AL44"/>
      <c r="AM44"/>
      <c r="AN44"/>
      <c r="AO44"/>
      <c r="AP44"/>
      <c r="AQ44"/>
      <c r="AR44"/>
      <c r="AS44"/>
      <c r="AT44"/>
      <c r="AU44"/>
      <c r="AV44"/>
      <c r="AW44"/>
    </row>
    <row r="45" spans="2:53" ht="6" customHeight="1" thickBot="1" x14ac:dyDescent="0.3">
      <c r="B45" s="107"/>
      <c r="C45" s="4"/>
      <c r="D45" s="200"/>
      <c r="E45" s="222"/>
      <c r="F45" s="223"/>
      <c r="G45" s="224"/>
      <c r="H45" s="201"/>
      <c r="I45" s="201"/>
      <c r="J45" s="10"/>
      <c r="K45" s="202"/>
      <c r="L45" s="136"/>
      <c r="M45" s="203"/>
      <c r="N45" s="204"/>
      <c r="O45" s="204"/>
      <c r="P45" s="204"/>
      <c r="Q45" s="204"/>
      <c r="R45" s="204"/>
      <c r="S45" s="204"/>
      <c r="T45" s="202"/>
      <c r="U45" s="4"/>
      <c r="V45" s="4"/>
      <c r="W45" s="180"/>
      <c r="X45"/>
      <c r="Y45"/>
      <c r="Z45"/>
      <c r="AA45"/>
      <c r="AB45"/>
      <c r="AC45"/>
      <c r="AD45"/>
      <c r="AE45"/>
      <c r="AF45"/>
      <c r="AG45"/>
      <c r="AH45"/>
      <c r="AI45"/>
      <c r="AJ45"/>
      <c r="AK45"/>
      <c r="AL45"/>
      <c r="AM45"/>
      <c r="AN45"/>
      <c r="AO45"/>
      <c r="AP45"/>
      <c r="AQ45"/>
      <c r="AR45"/>
      <c r="AS45"/>
      <c r="AT45"/>
      <c r="AU45"/>
      <c r="AV45"/>
      <c r="AW45"/>
    </row>
    <row r="46" spans="2:53" ht="15" customHeight="1" x14ac:dyDescent="0.25">
      <c r="B46" s="107"/>
      <c r="C46" s="4"/>
      <c r="D46" s="4"/>
      <c r="E46" s="4"/>
      <c r="F46" s="4"/>
      <c r="G46" s="4"/>
      <c r="H46" s="4"/>
      <c r="I46" s="4"/>
      <c r="J46" s="4"/>
      <c r="K46" s="4"/>
      <c r="L46" s="4"/>
      <c r="M46" s="4"/>
      <c r="N46" s="4"/>
      <c r="O46" s="4"/>
      <c r="P46" s="4"/>
      <c r="Q46" s="4"/>
      <c r="R46" s="4"/>
      <c r="S46" s="4"/>
      <c r="T46" s="4"/>
      <c r="U46" s="4"/>
      <c r="V46" s="4"/>
      <c r="W46" s="180"/>
      <c r="X46"/>
      <c r="Y46"/>
      <c r="Z46"/>
      <c r="AA46"/>
      <c r="AB46"/>
      <c r="AC46"/>
      <c r="AD46"/>
      <c r="AE46"/>
      <c r="AF46"/>
      <c r="AG46"/>
      <c r="AH46"/>
      <c r="AI46"/>
      <c r="AJ46"/>
      <c r="AK46"/>
      <c r="AL46"/>
      <c r="AM46"/>
      <c r="AN46"/>
      <c r="AO46"/>
      <c r="AP46"/>
      <c r="AQ46"/>
      <c r="AR46"/>
      <c r="AS46"/>
      <c r="AT46"/>
      <c r="AU46"/>
      <c r="AV46"/>
      <c r="AW46"/>
    </row>
    <row r="47" spans="2:53" ht="15" customHeight="1" x14ac:dyDescent="0.25">
      <c r="B47" s="107"/>
      <c r="C47" s="4"/>
      <c r="D47" s="4"/>
      <c r="E47" s="4"/>
      <c r="F47" s="4"/>
      <c r="G47" s="4"/>
      <c r="H47" s="4"/>
      <c r="I47" s="4"/>
      <c r="J47" s="4"/>
      <c r="K47" s="4"/>
      <c r="L47" s="4"/>
      <c r="M47" s="4"/>
      <c r="N47" s="4"/>
      <c r="O47" s="4"/>
      <c r="P47" s="4"/>
      <c r="Q47" s="4"/>
      <c r="R47" s="4"/>
      <c r="S47" s="4"/>
      <c r="T47" s="4"/>
      <c r="U47" s="4"/>
      <c r="V47" s="4"/>
      <c r="W47" s="180"/>
      <c r="X47"/>
      <c r="Y47"/>
      <c r="Z47"/>
      <c r="AA47"/>
      <c r="AB47"/>
      <c r="AC47"/>
      <c r="AD47"/>
      <c r="AE47"/>
      <c r="AF47"/>
      <c r="AG47"/>
      <c r="AH47"/>
      <c r="AI47"/>
      <c r="AJ47"/>
      <c r="AK47"/>
      <c r="AL47"/>
      <c r="AM47"/>
      <c r="AN47"/>
      <c r="AO47"/>
      <c r="AP47"/>
      <c r="AQ47"/>
      <c r="AR47"/>
      <c r="AS47"/>
      <c r="AT47"/>
      <c r="AU47"/>
      <c r="AV47"/>
      <c r="AW47"/>
    </row>
    <row r="48" spans="2:53" ht="15" customHeight="1" x14ac:dyDescent="0.25">
      <c r="B48" s="107"/>
      <c r="C48" s="4"/>
      <c r="D48" s="4"/>
      <c r="E48" s="4"/>
      <c r="F48" s="4"/>
      <c r="G48" s="4"/>
      <c r="H48" s="4"/>
      <c r="I48" s="4"/>
      <c r="J48" s="4"/>
      <c r="K48" s="4"/>
      <c r="L48" s="4"/>
      <c r="M48" s="4"/>
      <c r="N48" s="4"/>
      <c r="O48" s="4"/>
      <c r="P48" s="4"/>
      <c r="Q48" s="4"/>
      <c r="R48" s="4"/>
      <c r="S48" s="4"/>
      <c r="T48" s="4"/>
      <c r="U48" s="4"/>
      <c r="V48" s="31"/>
      <c r="W48" s="180"/>
      <c r="X48"/>
      <c r="Y48"/>
      <c r="Z48"/>
      <c r="AA48"/>
      <c r="AB48"/>
      <c r="AC48"/>
      <c r="AD48"/>
      <c r="AE48"/>
      <c r="AF48"/>
      <c r="AG48"/>
      <c r="AH48"/>
      <c r="AI48"/>
      <c r="AJ48"/>
      <c r="AK48"/>
      <c r="AL48"/>
      <c r="AM48"/>
      <c r="AN48"/>
      <c r="AO48"/>
      <c r="AP48"/>
      <c r="AQ48"/>
      <c r="AR48"/>
      <c r="AS48"/>
      <c r="AT48"/>
      <c r="AU48"/>
      <c r="AV48"/>
      <c r="AW48"/>
    </row>
    <row r="49" spans="2:49" ht="15" customHeight="1" x14ac:dyDescent="0.25">
      <c r="B49" s="107"/>
      <c r="C49" s="4"/>
      <c r="D49" s="4"/>
      <c r="E49" s="226" t="s">
        <v>240</v>
      </c>
      <c r="F49" s="226"/>
      <c r="G49" s="226"/>
      <c r="H49" s="226"/>
      <c r="I49" s="226"/>
      <c r="J49" s="226"/>
      <c r="K49" s="226"/>
      <c r="L49" s="226"/>
      <c r="M49" s="226"/>
      <c r="N49" s="226"/>
      <c r="O49" s="226"/>
      <c r="P49" s="226"/>
      <c r="Q49" s="226"/>
      <c r="R49" s="226"/>
      <c r="S49" s="226"/>
      <c r="T49" s="226"/>
      <c r="U49" s="226"/>
      <c r="V49" s="31"/>
      <c r="W49" s="180"/>
      <c r="X49"/>
      <c r="Y49"/>
      <c r="Z49"/>
      <c r="AA49"/>
      <c r="AB49"/>
      <c r="AC49"/>
      <c r="AD49"/>
      <c r="AE49"/>
      <c r="AF49"/>
      <c r="AG49"/>
      <c r="AH49"/>
      <c r="AI49"/>
      <c r="AJ49"/>
      <c r="AK49"/>
      <c r="AL49"/>
      <c r="AM49"/>
      <c r="AN49"/>
      <c r="AO49"/>
      <c r="AP49"/>
      <c r="AQ49"/>
      <c r="AR49"/>
      <c r="AS49"/>
      <c r="AT49"/>
      <c r="AU49"/>
      <c r="AV49"/>
      <c r="AW49"/>
    </row>
    <row r="50" spans="2:49" ht="15" customHeight="1" x14ac:dyDescent="0.25">
      <c r="B50" s="107"/>
      <c r="C50" s="4"/>
      <c r="D50" s="4"/>
      <c r="E50" s="226"/>
      <c r="F50" s="226"/>
      <c r="G50" s="226"/>
      <c r="H50" s="226"/>
      <c r="I50" s="226"/>
      <c r="J50" s="226"/>
      <c r="K50" s="226"/>
      <c r="L50" s="226"/>
      <c r="M50" s="226"/>
      <c r="N50" s="226"/>
      <c r="O50" s="226"/>
      <c r="P50" s="226"/>
      <c r="Q50" s="226"/>
      <c r="R50" s="226"/>
      <c r="S50" s="226"/>
      <c r="T50" s="226"/>
      <c r="U50" s="226"/>
      <c r="V50" s="31"/>
      <c r="W50" s="180"/>
      <c r="X50"/>
      <c r="Y50"/>
      <c r="Z50"/>
      <c r="AA50"/>
      <c r="AB50"/>
      <c r="AC50"/>
      <c r="AD50"/>
      <c r="AE50"/>
      <c r="AF50"/>
      <c r="AG50"/>
      <c r="AH50"/>
      <c r="AI50"/>
      <c r="AJ50"/>
      <c r="AK50"/>
      <c r="AL50"/>
      <c r="AM50"/>
      <c r="AN50"/>
      <c r="AO50"/>
      <c r="AP50"/>
      <c r="AQ50"/>
      <c r="AR50"/>
      <c r="AS50"/>
      <c r="AT50"/>
      <c r="AU50"/>
      <c r="AV50"/>
      <c r="AW50"/>
    </row>
    <row r="51" spans="2:49" ht="15" customHeight="1" x14ac:dyDescent="0.25">
      <c r="B51" s="107"/>
      <c r="C51" s="4"/>
      <c r="D51" s="4"/>
      <c r="E51" s="226"/>
      <c r="F51" s="226"/>
      <c r="G51" s="226"/>
      <c r="H51" s="226"/>
      <c r="I51" s="226"/>
      <c r="J51" s="226"/>
      <c r="K51" s="226"/>
      <c r="L51" s="226"/>
      <c r="M51" s="226"/>
      <c r="N51" s="226"/>
      <c r="O51" s="226"/>
      <c r="P51" s="226"/>
      <c r="Q51" s="226"/>
      <c r="R51" s="226"/>
      <c r="S51" s="226"/>
      <c r="T51" s="226"/>
      <c r="U51" s="226"/>
      <c r="V51" s="4"/>
      <c r="W51" s="180"/>
      <c r="X51"/>
      <c r="Y51"/>
      <c r="Z51"/>
      <c r="AA51"/>
      <c r="AB51"/>
      <c r="AC51"/>
      <c r="AD51"/>
      <c r="AE51"/>
      <c r="AF51"/>
      <c r="AG51"/>
      <c r="AH51"/>
      <c r="AI51"/>
      <c r="AJ51"/>
      <c r="AK51"/>
      <c r="AL51"/>
      <c r="AM51"/>
      <c r="AN51"/>
      <c r="AO51"/>
      <c r="AP51"/>
      <c r="AQ51"/>
      <c r="AR51"/>
      <c r="AS51"/>
      <c r="AT51"/>
      <c r="AU51"/>
      <c r="AV51"/>
      <c r="AW51"/>
    </row>
    <row r="52" spans="2:49" ht="15" customHeight="1" x14ac:dyDescent="0.25">
      <c r="B52" s="107"/>
      <c r="C52" s="4"/>
      <c r="D52" s="4"/>
      <c r="E52" s="4"/>
      <c r="F52" s="4"/>
      <c r="G52" s="4"/>
      <c r="H52" s="4"/>
      <c r="I52" s="4"/>
      <c r="J52" s="4"/>
      <c r="K52" s="4"/>
      <c r="L52" s="4"/>
      <c r="M52" s="31"/>
      <c r="N52" s="31"/>
      <c r="O52" s="31"/>
      <c r="P52" s="31"/>
      <c r="Q52" s="31"/>
      <c r="R52" s="31"/>
      <c r="S52" s="31"/>
      <c r="T52" s="4"/>
      <c r="U52" s="4"/>
      <c r="V52" s="4"/>
      <c r="W52" s="180"/>
      <c r="X52"/>
      <c r="Y52"/>
      <c r="Z52"/>
      <c r="AA52"/>
      <c r="AB52"/>
      <c r="AC52"/>
      <c r="AD52"/>
      <c r="AE52"/>
      <c r="AF52"/>
      <c r="AG52"/>
      <c r="AH52"/>
      <c r="AI52"/>
      <c r="AJ52"/>
      <c r="AK52"/>
      <c r="AL52"/>
      <c r="AM52"/>
      <c r="AN52"/>
      <c r="AO52"/>
      <c r="AP52"/>
      <c r="AQ52"/>
      <c r="AR52"/>
      <c r="AS52"/>
      <c r="AT52"/>
      <c r="AU52"/>
      <c r="AV52"/>
      <c r="AW52"/>
    </row>
    <row r="53" spans="2:49" ht="15" customHeight="1" x14ac:dyDescent="0.25">
      <c r="B53" s="107"/>
      <c r="C53" s="4"/>
      <c r="D53" s="4"/>
      <c r="E53" s="4"/>
      <c r="F53" s="4"/>
      <c r="G53" s="4"/>
      <c r="H53" s="4"/>
      <c r="I53" s="4"/>
      <c r="J53" s="4"/>
      <c r="K53" s="4"/>
      <c r="L53" s="4"/>
      <c r="M53" s="4"/>
      <c r="N53" s="4"/>
      <c r="O53" s="4"/>
      <c r="P53" s="4"/>
      <c r="Q53" s="4"/>
      <c r="R53" s="4"/>
      <c r="S53" s="4"/>
      <c r="T53" s="4"/>
      <c r="U53" s="4"/>
      <c r="V53" s="4"/>
      <c r="W53" s="180"/>
      <c r="X53"/>
      <c r="Y53"/>
      <c r="Z53"/>
      <c r="AA53"/>
      <c r="AB53"/>
      <c r="AC53"/>
      <c r="AD53"/>
      <c r="AE53"/>
      <c r="AF53"/>
      <c r="AG53"/>
      <c r="AH53"/>
      <c r="AI53"/>
      <c r="AJ53"/>
      <c r="AK53"/>
      <c r="AL53"/>
      <c r="AM53"/>
      <c r="AN53"/>
      <c r="AO53"/>
      <c r="AP53"/>
      <c r="AQ53"/>
      <c r="AR53"/>
      <c r="AS53"/>
      <c r="AT53"/>
      <c r="AU53"/>
      <c r="AV53"/>
      <c r="AW53"/>
    </row>
    <row r="54" spans="2:49" ht="15" customHeight="1" x14ac:dyDescent="0.25">
      <c r="B54" s="107"/>
      <c r="C54" s="4"/>
      <c r="D54" s="4"/>
      <c r="E54" s="4"/>
      <c r="F54" s="4"/>
      <c r="G54" s="4"/>
      <c r="H54" s="4"/>
      <c r="I54" s="4"/>
      <c r="J54" s="4"/>
      <c r="K54" s="4"/>
      <c r="L54" s="4"/>
      <c r="M54" s="4"/>
      <c r="N54" s="4"/>
      <c r="O54" s="4"/>
      <c r="P54" s="4"/>
      <c r="Q54" s="4"/>
      <c r="R54" s="4"/>
      <c r="S54" s="4"/>
      <c r="T54" s="4"/>
      <c r="U54" s="4"/>
      <c r="V54" s="4"/>
      <c r="W54" s="180"/>
      <c r="X54"/>
      <c r="Y54"/>
      <c r="Z54"/>
      <c r="AA54"/>
      <c r="AB54"/>
      <c r="AC54"/>
      <c r="AD54"/>
      <c r="AE54"/>
      <c r="AF54"/>
      <c r="AG54"/>
      <c r="AH54"/>
      <c r="AI54"/>
      <c r="AJ54"/>
      <c r="AK54"/>
      <c r="AL54"/>
      <c r="AM54"/>
      <c r="AN54"/>
      <c r="AO54"/>
      <c r="AP54"/>
      <c r="AQ54"/>
      <c r="AR54"/>
      <c r="AS54"/>
      <c r="AT54"/>
      <c r="AU54"/>
      <c r="AV54"/>
      <c r="AW54"/>
    </row>
    <row r="55" spans="2:49" ht="15" customHeight="1" x14ac:dyDescent="0.25">
      <c r="B55" s="107"/>
      <c r="C55" s="4"/>
      <c r="D55" s="4"/>
      <c r="E55" s="226" t="s">
        <v>279</v>
      </c>
      <c r="F55" s="226"/>
      <c r="G55" s="226"/>
      <c r="H55" s="226"/>
      <c r="I55" s="226"/>
      <c r="J55" s="226"/>
      <c r="K55" s="226"/>
      <c r="L55" s="226"/>
      <c r="M55" s="226"/>
      <c r="N55" s="226"/>
      <c r="O55" s="226"/>
      <c r="P55" s="226"/>
      <c r="Q55" s="226"/>
      <c r="R55" s="226"/>
      <c r="S55" s="226"/>
      <c r="T55" s="226"/>
      <c r="U55" s="226"/>
      <c r="V55" s="31"/>
      <c r="W55" s="180"/>
      <c r="X55"/>
      <c r="Y55"/>
      <c r="Z55"/>
      <c r="AA55"/>
      <c r="AB55"/>
      <c r="AC55"/>
      <c r="AD55"/>
      <c r="AE55"/>
      <c r="AF55"/>
      <c r="AG55"/>
      <c r="AH55"/>
      <c r="AI55"/>
      <c r="AJ55"/>
      <c r="AK55"/>
      <c r="AL55"/>
      <c r="AM55"/>
      <c r="AN55"/>
      <c r="AO55"/>
      <c r="AP55"/>
      <c r="AQ55"/>
      <c r="AR55"/>
      <c r="AS55"/>
      <c r="AT55"/>
      <c r="AU55"/>
      <c r="AV55"/>
      <c r="AW55"/>
    </row>
    <row r="56" spans="2:49" ht="15" customHeight="1" x14ac:dyDescent="0.25">
      <c r="B56" s="107"/>
      <c r="C56" s="4"/>
      <c r="D56" s="4"/>
      <c r="E56" s="226"/>
      <c r="F56" s="226"/>
      <c r="G56" s="226"/>
      <c r="H56" s="226"/>
      <c r="I56" s="226"/>
      <c r="J56" s="226"/>
      <c r="K56" s="226"/>
      <c r="L56" s="226"/>
      <c r="M56" s="226"/>
      <c r="N56" s="226"/>
      <c r="O56" s="226"/>
      <c r="P56" s="226"/>
      <c r="Q56" s="226"/>
      <c r="R56" s="226"/>
      <c r="S56" s="226"/>
      <c r="T56" s="226"/>
      <c r="U56" s="226"/>
      <c r="V56" s="31"/>
      <c r="W56" s="180"/>
      <c r="X56"/>
      <c r="Y56"/>
      <c r="Z56"/>
      <c r="AA56"/>
      <c r="AB56"/>
      <c r="AC56"/>
      <c r="AD56"/>
      <c r="AE56"/>
      <c r="AF56"/>
      <c r="AG56"/>
      <c r="AH56"/>
      <c r="AI56"/>
      <c r="AJ56"/>
      <c r="AK56"/>
      <c r="AL56"/>
      <c r="AM56"/>
      <c r="AN56"/>
      <c r="AO56"/>
      <c r="AP56"/>
      <c r="AQ56"/>
      <c r="AR56"/>
      <c r="AS56"/>
      <c r="AT56"/>
      <c r="AU56"/>
      <c r="AV56"/>
      <c r="AW56"/>
    </row>
    <row r="57" spans="2:49" ht="15" customHeight="1" x14ac:dyDescent="0.25">
      <c r="B57" s="107"/>
      <c r="C57" s="4"/>
      <c r="D57" s="4"/>
      <c r="E57" s="226"/>
      <c r="F57" s="226"/>
      <c r="G57" s="226"/>
      <c r="H57" s="226"/>
      <c r="I57" s="226"/>
      <c r="J57" s="226"/>
      <c r="K57" s="226"/>
      <c r="L57" s="226"/>
      <c r="M57" s="226"/>
      <c r="N57" s="226"/>
      <c r="O57" s="226"/>
      <c r="P57" s="226"/>
      <c r="Q57" s="226"/>
      <c r="R57" s="226"/>
      <c r="S57" s="226"/>
      <c r="T57" s="226"/>
      <c r="U57" s="226"/>
      <c r="V57" s="31"/>
      <c r="W57" s="180"/>
      <c r="X57"/>
      <c r="Y57"/>
      <c r="Z57"/>
      <c r="AA57"/>
      <c r="AB57"/>
      <c r="AC57"/>
      <c r="AD57"/>
      <c r="AE57"/>
      <c r="AF57"/>
      <c r="AG57"/>
      <c r="AH57"/>
      <c r="AI57"/>
      <c r="AJ57"/>
      <c r="AK57"/>
      <c r="AL57"/>
      <c r="AM57"/>
      <c r="AN57"/>
      <c r="AO57"/>
      <c r="AP57"/>
      <c r="AQ57"/>
      <c r="AR57"/>
      <c r="AS57"/>
      <c r="AT57"/>
      <c r="AU57"/>
      <c r="AV57"/>
      <c r="AW57"/>
    </row>
    <row r="58" spans="2:49" ht="15" customHeight="1" x14ac:dyDescent="0.25">
      <c r="B58" s="107"/>
      <c r="C58" s="4"/>
      <c r="D58" s="4"/>
      <c r="E58" s="4"/>
      <c r="F58" s="4"/>
      <c r="G58" s="4"/>
      <c r="H58" s="4"/>
      <c r="I58" s="4"/>
      <c r="J58" s="4"/>
      <c r="K58" s="4"/>
      <c r="L58" s="4"/>
      <c r="M58" s="4"/>
      <c r="N58" s="4"/>
      <c r="O58" s="4"/>
      <c r="P58" s="4"/>
      <c r="Q58" s="4"/>
      <c r="R58" s="4"/>
      <c r="S58" s="4"/>
      <c r="T58" s="4"/>
      <c r="U58" s="4"/>
      <c r="V58" s="4"/>
      <c r="W58" s="180"/>
      <c r="X58"/>
      <c r="Y58"/>
      <c r="Z58"/>
      <c r="AA58"/>
      <c r="AB58"/>
      <c r="AC58"/>
      <c r="AD58"/>
      <c r="AE58"/>
      <c r="AF58"/>
      <c r="AG58"/>
      <c r="AH58"/>
      <c r="AI58"/>
      <c r="AJ58"/>
      <c r="AK58"/>
      <c r="AL58"/>
      <c r="AM58"/>
      <c r="AN58"/>
      <c r="AO58"/>
      <c r="AP58"/>
      <c r="AQ58"/>
      <c r="AR58"/>
      <c r="AS58"/>
      <c r="AT58"/>
      <c r="AU58"/>
      <c r="AV58"/>
      <c r="AW58"/>
    </row>
    <row r="59" spans="2:49" ht="15" customHeight="1" thickBot="1" x14ac:dyDescent="0.3">
      <c r="B59" s="108"/>
      <c r="C59" s="109"/>
      <c r="D59" s="109"/>
      <c r="E59" s="109"/>
      <c r="F59" s="109"/>
      <c r="G59" s="109"/>
      <c r="H59" s="109"/>
      <c r="I59" s="109"/>
      <c r="J59" s="109"/>
      <c r="K59" s="109"/>
      <c r="L59" s="109"/>
      <c r="M59" s="109"/>
      <c r="N59" s="109"/>
      <c r="O59" s="109"/>
      <c r="P59" s="109"/>
      <c r="Q59" s="109"/>
      <c r="R59" s="109"/>
      <c r="S59" s="109"/>
      <c r="T59" s="109"/>
      <c r="U59" s="109"/>
      <c r="V59" s="109"/>
      <c r="W59" s="205"/>
      <c r="X59"/>
      <c r="Y59"/>
      <c r="Z59"/>
      <c r="AA59"/>
      <c r="AB59"/>
      <c r="AC59"/>
      <c r="AD59"/>
      <c r="AE59"/>
      <c r="AF59"/>
      <c r="AG59"/>
      <c r="AH59"/>
      <c r="AI59"/>
      <c r="AJ59"/>
      <c r="AK59"/>
      <c r="AL59"/>
      <c r="AM59"/>
      <c r="AN59"/>
      <c r="AO59"/>
      <c r="AP59"/>
      <c r="AQ59"/>
      <c r="AR59"/>
      <c r="AS59"/>
      <c r="AT59"/>
      <c r="AU59"/>
      <c r="AV59"/>
      <c r="AW59"/>
    </row>
    <row r="60" spans="2:49" ht="15" customHeight="1" thickTop="1" x14ac:dyDescent="0.25">
      <c r="W60"/>
      <c r="X60"/>
      <c r="Y60"/>
      <c r="Z60"/>
      <c r="AA60"/>
      <c r="AB60"/>
      <c r="AC60"/>
      <c r="AD60"/>
      <c r="AE60"/>
      <c r="AF60"/>
      <c r="AG60"/>
      <c r="AH60"/>
      <c r="AI60"/>
      <c r="AJ60"/>
      <c r="AK60"/>
      <c r="AL60"/>
      <c r="AM60"/>
      <c r="AN60"/>
      <c r="AO60"/>
      <c r="AP60"/>
      <c r="AQ60"/>
      <c r="AR60"/>
      <c r="AS60"/>
      <c r="AT60"/>
      <c r="AU60"/>
      <c r="AV60"/>
      <c r="AW60"/>
    </row>
  </sheetData>
  <mergeCells count="13">
    <mergeCell ref="E26:U28"/>
    <mergeCell ref="B2:W6"/>
    <mergeCell ref="E10:U12"/>
    <mergeCell ref="E17:U19"/>
    <mergeCell ref="G22:H23"/>
    <mergeCell ref="I22:S23"/>
    <mergeCell ref="E55:U57"/>
    <mergeCell ref="D31:E33"/>
    <mergeCell ref="G31:G32"/>
    <mergeCell ref="H31:H32"/>
    <mergeCell ref="J31:J32"/>
    <mergeCell ref="M31:Q32"/>
    <mergeCell ref="E49:U51"/>
  </mergeCells>
  <dataValidations count="1">
    <dataValidation type="list" allowBlank="1" showInputMessage="1" showErrorMessage="1" sqref="I22">
      <formula1>INDIRECT("ConfigurationTable[Configuration]")</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3" r:id="rId4" name="Button 3">
              <controlPr defaultSize="0" print="0" autoFill="0" autoPict="0" macro="[0]!MacroClear">
                <anchor moveWithCells="1" sizeWithCells="1">
                  <from>
                    <xdr:col>4</xdr:col>
                    <xdr:colOff>57150</xdr:colOff>
                    <xdr:row>21</xdr:row>
                    <xdr:rowOff>28575</xdr:rowOff>
                  </from>
                  <to>
                    <xdr:col>4</xdr:col>
                    <xdr:colOff>666750</xdr:colOff>
                    <xdr:row>22</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BG61"/>
  <sheetViews>
    <sheetView showGridLines="0" showRowColHeaders="0" zoomScale="85" zoomScaleNormal="85" workbookViewId="0">
      <selection activeCell="AB13" sqref="AB13:AP14"/>
    </sheetView>
  </sheetViews>
  <sheetFormatPr defaultColWidth="9.140625" defaultRowHeight="12.75" x14ac:dyDescent="0.2"/>
  <cols>
    <col min="1" max="1" width="2.85546875" style="2" customWidth="1"/>
    <col min="2" max="2" width="2" style="2" customWidth="1"/>
    <col min="3" max="3" width="2.140625" style="2" customWidth="1"/>
    <col min="4" max="4" width="1.7109375" style="2" customWidth="1"/>
    <col min="5" max="5" width="10.140625" style="2" customWidth="1"/>
    <col min="6" max="6" width="1.5703125" style="2" customWidth="1"/>
    <col min="7" max="7" width="9.7109375" style="2" customWidth="1"/>
    <col min="8" max="8" width="7" style="2" customWidth="1"/>
    <col min="9" max="9" width="2" style="2" customWidth="1"/>
    <col min="10" max="10" width="9.7109375" style="2" customWidth="1"/>
    <col min="11" max="11" width="2" style="2" customWidth="1"/>
    <col min="12" max="12" width="1.85546875" style="2" customWidth="1"/>
    <col min="13" max="13" width="2.140625" style="2" customWidth="1"/>
    <col min="14" max="14" width="1.7109375" style="2" customWidth="1"/>
    <col min="15" max="15" width="15" style="2" customWidth="1"/>
    <col min="16" max="16" width="1.28515625" style="2" customWidth="1"/>
    <col min="17" max="17" width="9.42578125" style="2" customWidth="1"/>
    <col min="18" max="18" width="1" style="2" customWidth="1"/>
    <col min="19" max="19" width="6.7109375" style="2" customWidth="1"/>
    <col min="20" max="22" width="2" style="2" customWidth="1"/>
    <col min="23" max="23" width="11.7109375" style="2" customWidth="1"/>
    <col min="24" max="24" width="7.28515625" style="2" customWidth="1"/>
    <col min="25" max="25" width="1.28515625" style="2" customWidth="1"/>
    <col min="26" max="26" width="4.5703125" style="2" customWidth="1"/>
    <col min="27" max="27" width="5.7109375" style="2" customWidth="1"/>
    <col min="28" max="28" width="14.28515625" style="2" customWidth="1"/>
    <col min="29" max="29" width="2.42578125" style="2" customWidth="1"/>
    <col min="30" max="31" width="2" style="2" customWidth="1"/>
    <col min="32" max="32" width="1.7109375" style="2" customWidth="1"/>
    <col min="33" max="33" width="5.7109375" style="2" customWidth="1"/>
    <col min="34" max="35" width="1.85546875" style="2" customWidth="1"/>
    <col min="36" max="36" width="12" style="2" customWidth="1"/>
    <col min="37" max="37" width="1.42578125" style="2" customWidth="1"/>
    <col min="38" max="38" width="6.42578125" style="2" customWidth="1"/>
    <col min="39" max="39" width="1.85546875" style="2" customWidth="1"/>
    <col min="40" max="41" width="1.7109375" style="2" customWidth="1"/>
    <col min="42" max="42" width="6.42578125" style="2" customWidth="1"/>
    <col min="43" max="43" width="1.5703125" style="2" customWidth="1"/>
    <col min="44" max="44" width="5.85546875" style="2" customWidth="1"/>
    <col min="45" max="45" width="1.42578125" style="2" customWidth="1"/>
    <col min="46" max="46" width="1.5703125" style="2" customWidth="1"/>
    <col min="47" max="16384" width="9.140625" style="2"/>
  </cols>
  <sheetData>
    <row r="1" spans="2:46" ht="12" customHeight="1" thickBot="1" x14ac:dyDescent="0.25"/>
    <row r="2" spans="2:46" ht="9.9499999999999993" customHeight="1" thickTop="1" x14ac:dyDescent="0.2">
      <c r="B2" s="236" t="s">
        <v>302</v>
      </c>
      <c r="C2" s="237"/>
      <c r="D2" s="237"/>
      <c r="E2" s="237"/>
      <c r="F2" s="237"/>
      <c r="G2" s="237"/>
      <c r="H2" s="237"/>
      <c r="I2" s="237"/>
      <c r="J2" s="237"/>
      <c r="K2" s="237"/>
      <c r="L2" s="237"/>
      <c r="M2" s="237"/>
      <c r="N2" s="237"/>
      <c r="O2" s="237"/>
      <c r="P2" s="237"/>
      <c r="Q2" s="237"/>
      <c r="R2" s="237"/>
      <c r="S2" s="237"/>
      <c r="T2" s="104"/>
      <c r="U2" s="104"/>
      <c r="V2" s="104"/>
      <c r="W2" s="104"/>
      <c r="X2" s="104"/>
      <c r="Y2" s="104"/>
      <c r="Z2" s="104"/>
      <c r="AA2" s="104"/>
      <c r="AB2" s="104"/>
      <c r="AC2" s="104"/>
      <c r="AD2" s="104"/>
      <c r="AE2" s="104"/>
      <c r="AF2" s="104"/>
      <c r="AG2" s="104"/>
      <c r="AH2" s="104"/>
      <c r="AI2" s="104"/>
      <c r="AJ2" s="104"/>
      <c r="AK2" s="104"/>
      <c r="AL2" s="104"/>
      <c r="AM2" s="104"/>
      <c r="AN2" s="104"/>
      <c r="AO2" s="104"/>
      <c r="AP2" s="104"/>
      <c r="AQ2" s="104"/>
      <c r="AR2" s="104"/>
      <c r="AS2" s="104"/>
      <c r="AT2" s="105"/>
    </row>
    <row r="3" spans="2:46" ht="15.75" customHeight="1" x14ac:dyDescent="0.2">
      <c r="B3" s="239"/>
      <c r="C3" s="240"/>
      <c r="D3" s="240"/>
      <c r="E3" s="240"/>
      <c r="F3" s="240"/>
      <c r="G3" s="240"/>
      <c r="H3" s="240"/>
      <c r="I3" s="240"/>
      <c r="J3" s="240"/>
      <c r="K3" s="240"/>
      <c r="L3" s="240"/>
      <c r="M3" s="240"/>
      <c r="N3" s="240"/>
      <c r="O3" s="240"/>
      <c r="P3" s="240"/>
      <c r="Q3" s="240"/>
      <c r="R3" s="240"/>
      <c r="S3" s="240"/>
      <c r="T3" s="4"/>
      <c r="U3" s="4"/>
      <c r="V3" s="4"/>
      <c r="W3" s="4"/>
      <c r="X3" s="4"/>
      <c r="Y3" s="4"/>
      <c r="Z3" s="4"/>
      <c r="AA3" s="4"/>
      <c r="AB3" s="4"/>
      <c r="AC3" s="4"/>
      <c r="AD3" s="4"/>
      <c r="AE3" s="4"/>
      <c r="AF3" s="4"/>
      <c r="AG3" s="4"/>
      <c r="AH3" s="4"/>
      <c r="AI3" s="4"/>
      <c r="AJ3" s="4"/>
      <c r="AK3" s="4"/>
      <c r="AL3" s="4"/>
      <c r="AM3" s="4"/>
      <c r="AN3" s="4"/>
      <c r="AO3" s="4"/>
      <c r="AP3" s="4"/>
      <c r="AQ3" s="4"/>
      <c r="AR3" s="4"/>
      <c r="AS3" s="4"/>
      <c r="AT3" s="106"/>
    </row>
    <row r="4" spans="2:46" ht="15.75" customHeight="1" x14ac:dyDescent="0.2">
      <c r="B4" s="239"/>
      <c r="C4" s="240"/>
      <c r="D4" s="240"/>
      <c r="E4" s="240"/>
      <c r="F4" s="240"/>
      <c r="G4" s="240"/>
      <c r="H4" s="240"/>
      <c r="I4" s="240"/>
      <c r="J4" s="240"/>
      <c r="K4" s="240"/>
      <c r="L4" s="240"/>
      <c r="M4" s="240"/>
      <c r="N4" s="240"/>
      <c r="O4" s="240"/>
      <c r="P4" s="240"/>
      <c r="Q4" s="240"/>
      <c r="R4" s="240"/>
      <c r="S4" s="240"/>
      <c r="T4" s="4"/>
      <c r="U4" s="4"/>
      <c r="V4" s="4"/>
      <c r="W4" s="4"/>
      <c r="X4" s="252" t="s">
        <v>232</v>
      </c>
      <c r="Y4" s="252"/>
      <c r="Z4" s="252"/>
      <c r="AA4" s="252"/>
      <c r="AB4" s="252"/>
      <c r="AC4" s="252"/>
      <c r="AD4" s="252"/>
      <c r="AE4" s="252"/>
      <c r="AF4" s="252"/>
      <c r="AG4" s="252"/>
      <c r="AH4" s="252"/>
      <c r="AI4" s="252"/>
      <c r="AJ4" s="252"/>
      <c r="AK4" s="252"/>
      <c r="AL4" s="252"/>
      <c r="AM4" s="252"/>
      <c r="AN4" s="252"/>
      <c r="AO4" s="252"/>
      <c r="AP4" s="252"/>
      <c r="AQ4" s="252"/>
      <c r="AR4" s="4"/>
      <c r="AS4" s="4"/>
      <c r="AT4" s="106"/>
    </row>
    <row r="5" spans="2:46" ht="12.75" customHeight="1" x14ac:dyDescent="0.25">
      <c r="B5" s="239"/>
      <c r="C5" s="240"/>
      <c r="D5" s="240"/>
      <c r="E5" s="240"/>
      <c r="F5" s="240"/>
      <c r="G5" s="240"/>
      <c r="H5" s="240"/>
      <c r="I5" s="240"/>
      <c r="J5" s="240"/>
      <c r="K5" s="240"/>
      <c r="L5" s="240"/>
      <c r="M5" s="240"/>
      <c r="N5" s="240"/>
      <c r="O5" s="240"/>
      <c r="P5" s="240"/>
      <c r="Q5" s="240"/>
      <c r="R5" s="240"/>
      <c r="S5" s="240"/>
      <c r="T5" s="4"/>
      <c r="U5" s="4"/>
      <c r="V5" s="4"/>
      <c r="W5" s="4"/>
      <c r="X5" s="252"/>
      <c r="Y5" s="252"/>
      <c r="Z5" s="252"/>
      <c r="AA5" s="252"/>
      <c r="AB5" s="252"/>
      <c r="AC5" s="252"/>
      <c r="AD5" s="252"/>
      <c r="AE5" s="252"/>
      <c r="AF5" s="252"/>
      <c r="AG5" s="252"/>
      <c r="AH5" s="252"/>
      <c r="AI5" s="252"/>
      <c r="AJ5" s="252"/>
      <c r="AK5" s="252"/>
      <c r="AL5" s="252"/>
      <c r="AM5" s="252"/>
      <c r="AN5" s="252"/>
      <c r="AO5" s="252"/>
      <c r="AP5" s="252"/>
      <c r="AQ5" s="252"/>
      <c r="AR5"/>
      <c r="AS5" s="4"/>
      <c r="AT5" s="106"/>
    </row>
    <row r="6" spans="2:46" ht="12.75" customHeight="1" x14ac:dyDescent="0.25">
      <c r="B6" s="239"/>
      <c r="C6" s="240"/>
      <c r="D6" s="240"/>
      <c r="E6" s="240"/>
      <c r="F6" s="240"/>
      <c r="G6" s="240"/>
      <c r="H6" s="240"/>
      <c r="I6" s="240"/>
      <c r="J6" s="240"/>
      <c r="K6" s="240"/>
      <c r="L6" s="240"/>
      <c r="M6" s="240"/>
      <c r="N6" s="240"/>
      <c r="O6" s="240"/>
      <c r="P6" s="240"/>
      <c r="Q6" s="240"/>
      <c r="R6" s="240"/>
      <c r="S6" s="240"/>
      <c r="T6" s="4"/>
      <c r="U6" s="4"/>
      <c r="V6" s="4"/>
      <c r="W6" s="4"/>
      <c r="X6" s="252"/>
      <c r="Y6" s="252"/>
      <c r="Z6" s="252"/>
      <c r="AA6" s="252"/>
      <c r="AB6" s="252"/>
      <c r="AC6" s="252"/>
      <c r="AD6" s="252"/>
      <c r="AE6" s="252"/>
      <c r="AF6" s="252"/>
      <c r="AG6" s="252"/>
      <c r="AH6" s="252"/>
      <c r="AI6" s="252"/>
      <c r="AJ6" s="252"/>
      <c r="AK6" s="252"/>
      <c r="AL6" s="252"/>
      <c r="AM6" s="252"/>
      <c r="AN6" s="252"/>
      <c r="AO6" s="252"/>
      <c r="AP6" s="252"/>
      <c r="AQ6" s="252"/>
      <c r="AR6"/>
      <c r="AS6" s="4"/>
      <c r="AT6" s="106"/>
    </row>
    <row r="7" spans="2:46" ht="6" customHeight="1" x14ac:dyDescent="0.25">
      <c r="B7" s="107"/>
      <c r="C7" s="4"/>
      <c r="D7" s="4"/>
      <c r="E7" s="4"/>
      <c r="F7" s="4"/>
      <c r="G7" s="4"/>
      <c r="H7" s="4"/>
      <c r="I7" s="4"/>
      <c r="J7" s="4"/>
      <c r="K7" s="4"/>
      <c r="L7" s="4"/>
      <c r="M7" s="4"/>
      <c r="N7" s="4"/>
      <c r="O7" s="4"/>
      <c r="P7" s="4"/>
      <c r="Q7" s="4"/>
      <c r="R7" s="4"/>
      <c r="S7" s="4"/>
      <c r="T7" s="4"/>
      <c r="U7" s="4"/>
      <c r="V7" s="4"/>
      <c r="W7" s="4"/>
      <c r="X7"/>
      <c r="Y7"/>
      <c r="Z7"/>
      <c r="AA7"/>
      <c r="AB7"/>
      <c r="AC7"/>
      <c r="AD7"/>
      <c r="AE7"/>
      <c r="AF7"/>
      <c r="AG7"/>
      <c r="AH7"/>
      <c r="AI7"/>
      <c r="AJ7"/>
      <c r="AK7"/>
      <c r="AL7"/>
      <c r="AM7"/>
      <c r="AN7"/>
      <c r="AO7"/>
      <c r="AP7"/>
      <c r="AQ7"/>
      <c r="AR7"/>
      <c r="AS7" s="4"/>
      <c r="AT7" s="106"/>
    </row>
    <row r="8" spans="2:46" ht="7.5" customHeight="1" x14ac:dyDescent="0.25">
      <c r="B8" s="107"/>
      <c r="C8" s="4"/>
      <c r="D8" s="4"/>
      <c r="E8" s="4"/>
      <c r="F8" s="4"/>
      <c r="G8" s="4"/>
      <c r="H8" s="4"/>
      <c r="I8" s="4"/>
      <c r="J8" s="4"/>
      <c r="K8" s="4"/>
      <c r="L8" s="4"/>
      <c r="M8" s="4"/>
      <c r="N8" s="4"/>
      <c r="O8" s="31"/>
      <c r="P8" s="31"/>
      <c r="Q8" s="4"/>
      <c r="R8" s="4"/>
      <c r="S8" s="4"/>
      <c r="T8" s="4"/>
      <c r="U8" s="4"/>
      <c r="V8" s="4"/>
      <c r="W8" s="4"/>
      <c r="X8" s="4"/>
      <c r="Y8" s="4"/>
      <c r="Z8" s="4"/>
      <c r="AA8" s="4"/>
      <c r="AB8" s="4"/>
      <c r="AC8" s="4"/>
      <c r="AD8" s="4"/>
      <c r="AE8" s="4"/>
      <c r="AF8" s="4"/>
      <c r="AG8" s="4"/>
      <c r="AH8" s="4"/>
      <c r="AI8" s="4"/>
      <c r="AJ8" s="4"/>
      <c r="AK8" s="4"/>
      <c r="AL8" s="4"/>
      <c r="AM8" s="4"/>
      <c r="AN8" s="4"/>
      <c r="AO8" s="4"/>
      <c r="AP8" s="4"/>
      <c r="AQ8" s="4"/>
      <c r="AR8" s="4"/>
      <c r="AS8" s="4"/>
      <c r="AT8" s="106"/>
    </row>
    <row r="9" spans="2:46" ht="5.25" customHeight="1" x14ac:dyDescent="0.2">
      <c r="B9" s="107"/>
      <c r="C9" s="4"/>
      <c r="D9" s="4"/>
      <c r="E9" s="4"/>
      <c r="F9" s="4"/>
      <c r="G9" s="4"/>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c r="AQ9" s="4"/>
      <c r="AR9" s="4"/>
      <c r="AS9" s="4"/>
      <c r="AT9" s="106"/>
    </row>
    <row r="10" spans="2:46" ht="15" x14ac:dyDescent="0.25">
      <c r="B10" s="107"/>
      <c r="C10" s="4"/>
      <c r="D10" s="4"/>
      <c r="E10" s="4"/>
      <c r="F10" s="4"/>
      <c r="G10" s="4"/>
      <c r="H10" s="4"/>
      <c r="I10" s="4"/>
      <c r="J10" s="4"/>
      <c r="K10" s="4"/>
      <c r="L10" s="4"/>
      <c r="M10" s="4"/>
      <c r="N10" s="4"/>
      <c r="O10" s="4"/>
      <c r="P10" s="4"/>
      <c r="Q10" s="4"/>
      <c r="R10" s="4"/>
      <c r="S10" s="4"/>
      <c r="T10" s="31"/>
      <c r="U10" s="4"/>
      <c r="V10" s="4"/>
      <c r="W10" s="4"/>
      <c r="X10" s="4"/>
      <c r="Y10" s="4"/>
      <c r="Z10" s="4"/>
      <c r="AA10" s="4"/>
      <c r="AB10" s="4"/>
      <c r="AC10" s="4"/>
      <c r="AD10" s="4"/>
      <c r="AE10" s="4"/>
      <c r="AF10" s="4"/>
      <c r="AG10" s="4"/>
      <c r="AH10" s="4"/>
      <c r="AI10" s="4"/>
      <c r="AJ10" s="4"/>
      <c r="AK10" s="4"/>
      <c r="AL10" s="4"/>
      <c r="AM10" s="4"/>
      <c r="AN10" s="31"/>
      <c r="AO10" s="31"/>
      <c r="AP10" s="31"/>
      <c r="AQ10" s="4"/>
      <c r="AR10" s="4"/>
      <c r="AS10" s="4"/>
      <c r="AT10" s="106"/>
    </row>
    <row r="11" spans="2:46" ht="18.75" x14ac:dyDescent="0.2">
      <c r="B11" s="107"/>
      <c r="C11" s="4"/>
      <c r="D11" s="4"/>
      <c r="E11" s="242" t="s">
        <v>229</v>
      </c>
      <c r="F11" s="242"/>
      <c r="G11" s="242"/>
      <c r="H11" s="242"/>
      <c r="I11" s="242"/>
      <c r="J11" s="242"/>
      <c r="K11" s="242"/>
      <c r="L11" s="242"/>
      <c r="M11" s="242"/>
      <c r="N11" s="242"/>
      <c r="O11" s="242"/>
      <c r="P11" s="242"/>
      <c r="Q11" s="242"/>
      <c r="R11" s="112"/>
      <c r="S11" s="112"/>
      <c r="T11" s="4"/>
      <c r="U11" s="4"/>
      <c r="V11" s="4"/>
      <c r="W11" s="261" t="s">
        <v>231</v>
      </c>
      <c r="X11" s="262"/>
      <c r="Y11" s="262"/>
      <c r="Z11" s="262"/>
      <c r="AA11" s="262"/>
      <c r="AB11" s="262"/>
      <c r="AC11" s="262"/>
      <c r="AD11" s="262"/>
      <c r="AE11" s="262"/>
      <c r="AF11" s="262"/>
      <c r="AG11" s="262"/>
      <c r="AH11" s="262"/>
      <c r="AI11" s="262"/>
      <c r="AJ11" s="262"/>
      <c r="AK11" s="262"/>
      <c r="AL11" s="262"/>
      <c r="AM11" s="262"/>
      <c r="AN11" s="262"/>
      <c r="AO11" s="262"/>
      <c r="AP11" s="262"/>
      <c r="AQ11" s="262"/>
      <c r="AR11" s="4"/>
      <c r="AS11" s="4"/>
      <c r="AT11" s="106"/>
    </row>
    <row r="12" spans="2:46" ht="15" customHeight="1" x14ac:dyDescent="0.2">
      <c r="B12" s="107"/>
      <c r="C12" s="4"/>
      <c r="D12" s="4"/>
      <c r="E12" s="242"/>
      <c r="F12" s="242"/>
      <c r="G12" s="242"/>
      <c r="H12" s="242"/>
      <c r="I12" s="242"/>
      <c r="J12" s="242"/>
      <c r="K12" s="242"/>
      <c r="L12" s="242"/>
      <c r="M12" s="242"/>
      <c r="N12" s="242"/>
      <c r="O12" s="242"/>
      <c r="P12" s="242"/>
      <c r="Q12" s="242"/>
      <c r="R12" s="112"/>
      <c r="S12" s="112"/>
      <c r="T12" s="4"/>
      <c r="U12" s="4"/>
      <c r="V12" s="4"/>
      <c r="W12" s="4"/>
      <c r="X12" s="4"/>
      <c r="Y12" s="4"/>
      <c r="Z12" s="4"/>
      <c r="AA12" s="4"/>
      <c r="AB12" s="4"/>
      <c r="AC12" s="4"/>
      <c r="AD12" s="4"/>
      <c r="AE12" s="4"/>
      <c r="AF12" s="4"/>
      <c r="AG12" s="4"/>
      <c r="AH12" s="4"/>
      <c r="AI12" s="4"/>
      <c r="AJ12" s="4"/>
      <c r="AK12" s="4"/>
      <c r="AL12" s="4"/>
      <c r="AM12" s="4"/>
      <c r="AN12" s="4"/>
      <c r="AO12" s="4"/>
      <c r="AP12" s="4"/>
      <c r="AQ12" s="4"/>
      <c r="AR12" s="4"/>
      <c r="AS12" s="4"/>
      <c r="AT12" s="106"/>
    </row>
    <row r="13" spans="2:46" ht="12.75" customHeight="1" x14ac:dyDescent="0.2">
      <c r="B13" s="107"/>
      <c r="C13" s="4"/>
      <c r="D13" s="4"/>
      <c r="E13" s="242"/>
      <c r="F13" s="242"/>
      <c r="G13" s="242"/>
      <c r="H13" s="242"/>
      <c r="I13" s="242"/>
      <c r="J13" s="242"/>
      <c r="K13" s="242"/>
      <c r="L13" s="242"/>
      <c r="M13" s="242"/>
      <c r="N13" s="242"/>
      <c r="O13" s="242"/>
      <c r="P13" s="242"/>
      <c r="Q13" s="242"/>
      <c r="R13" s="112"/>
      <c r="S13" s="112"/>
      <c r="T13" s="4"/>
      <c r="U13" s="4"/>
      <c r="V13" s="4"/>
      <c r="W13" s="4"/>
      <c r="X13" s="243" t="s">
        <v>159</v>
      </c>
      <c r="Y13" s="243"/>
      <c r="Z13" s="243"/>
      <c r="AA13" s="243"/>
      <c r="AB13" s="270" t="s">
        <v>250</v>
      </c>
      <c r="AC13" s="270"/>
      <c r="AD13" s="270"/>
      <c r="AE13" s="270"/>
      <c r="AF13" s="270"/>
      <c r="AG13" s="270"/>
      <c r="AH13" s="270"/>
      <c r="AI13" s="270"/>
      <c r="AJ13" s="270"/>
      <c r="AK13" s="270"/>
      <c r="AL13" s="270"/>
      <c r="AM13" s="270"/>
      <c r="AN13" s="270"/>
      <c r="AO13" s="270"/>
      <c r="AP13" s="270"/>
      <c r="AQ13" s="4"/>
      <c r="AR13" s="4"/>
      <c r="AS13" s="4"/>
      <c r="AT13" s="106"/>
    </row>
    <row r="14" spans="2:46" ht="12.75" customHeight="1" x14ac:dyDescent="0.2">
      <c r="B14" s="107"/>
      <c r="C14" s="4"/>
      <c r="D14" s="4"/>
      <c r="E14" s="4"/>
      <c r="F14" s="4"/>
      <c r="G14" s="4"/>
      <c r="H14" s="4"/>
      <c r="I14" s="4"/>
      <c r="J14" s="4"/>
      <c r="K14" s="4"/>
      <c r="L14" s="4"/>
      <c r="M14" s="4"/>
      <c r="N14" s="4"/>
      <c r="O14" s="4"/>
      <c r="P14" s="4"/>
      <c r="Q14" s="4"/>
      <c r="R14" s="4"/>
      <c r="S14" s="4"/>
      <c r="T14" s="4"/>
      <c r="U14" s="4"/>
      <c r="V14" s="4"/>
      <c r="W14" s="4"/>
      <c r="X14" s="243"/>
      <c r="Y14" s="243"/>
      <c r="Z14" s="243"/>
      <c r="AA14" s="243"/>
      <c r="AB14" s="270"/>
      <c r="AC14" s="270"/>
      <c r="AD14" s="270"/>
      <c r="AE14" s="270"/>
      <c r="AF14" s="270"/>
      <c r="AG14" s="270"/>
      <c r="AH14" s="270"/>
      <c r="AI14" s="270"/>
      <c r="AJ14" s="270"/>
      <c r="AK14" s="270"/>
      <c r="AL14" s="270"/>
      <c r="AM14" s="270"/>
      <c r="AN14" s="270"/>
      <c r="AO14" s="270"/>
      <c r="AP14" s="270"/>
      <c r="AQ14" s="4"/>
      <c r="AR14" s="4"/>
      <c r="AS14" s="4"/>
      <c r="AT14" s="106"/>
    </row>
    <row r="15" spans="2:46" x14ac:dyDescent="0.2">
      <c r="B15" s="107"/>
      <c r="C15" s="4"/>
      <c r="D15" s="4"/>
      <c r="E15" s="4"/>
      <c r="F15" s="4"/>
      <c r="G15" s="4"/>
      <c r="H15" s="4"/>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c r="AQ15" s="4"/>
      <c r="AR15" s="4"/>
      <c r="AS15" s="4"/>
      <c r="AT15" s="106"/>
    </row>
    <row r="16" spans="2:46" ht="18.75" x14ac:dyDescent="0.25">
      <c r="B16" s="107"/>
      <c r="C16" s="4"/>
      <c r="D16" s="4"/>
      <c r="E16" s="161" t="s">
        <v>230</v>
      </c>
      <c r="F16" s="162"/>
      <c r="G16" s="162"/>
      <c r="H16" s="162"/>
      <c r="I16" s="162"/>
      <c r="J16" s="162"/>
      <c r="K16" s="162"/>
      <c r="L16" s="162"/>
      <c r="M16" s="162"/>
      <c r="N16" s="162"/>
      <c r="O16" s="162"/>
      <c r="P16" s="162"/>
      <c r="Q16" s="162"/>
      <c r="R16" s="162"/>
      <c r="S16" s="162"/>
      <c r="T16" s="162"/>
      <c r="U16" s="162"/>
      <c r="V16" s="162"/>
      <c r="W16" s="162"/>
      <c r="X16" s="162"/>
      <c r="Y16" s="162"/>
      <c r="Z16" s="162"/>
      <c r="AA16" s="162"/>
      <c r="AB16" s="162"/>
      <c r="AC16" s="162"/>
      <c r="AD16" s="162"/>
      <c r="AE16" s="162"/>
      <c r="AF16" s="162"/>
      <c r="AG16" s="162"/>
      <c r="AH16" s="162"/>
      <c r="AI16" s="162"/>
      <c r="AJ16" s="162"/>
      <c r="AK16" s="162"/>
      <c r="AL16" s="162"/>
      <c r="AM16" s="162"/>
      <c r="AN16" s="162"/>
      <c r="AO16" s="162"/>
      <c r="AP16" s="162"/>
      <c r="AQ16" s="162"/>
      <c r="AR16"/>
      <c r="AS16"/>
      <c r="AT16" s="106"/>
    </row>
    <row r="17" spans="2:59" ht="13.5" thickBot="1" x14ac:dyDescent="0.25">
      <c r="B17" s="107"/>
      <c r="C17" s="4"/>
      <c r="D17" s="4"/>
      <c r="E17" s="4"/>
      <c r="F17" s="4"/>
      <c r="G17" s="4"/>
      <c r="H17" s="4"/>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c r="AQ17" s="4"/>
      <c r="AR17" s="4"/>
      <c r="AS17" s="4"/>
      <c r="AT17" s="106"/>
    </row>
    <row r="18" spans="2:59" ht="15" x14ac:dyDescent="0.25">
      <c r="B18" s="107"/>
      <c r="C18" s="4"/>
      <c r="D18" s="258" t="s">
        <v>233</v>
      </c>
      <c r="E18" s="259"/>
      <c r="F18" s="259"/>
      <c r="G18" s="259"/>
      <c r="H18" s="259"/>
      <c r="I18" s="259"/>
      <c r="J18" s="259"/>
      <c r="K18" s="260"/>
      <c r="L18" s="4"/>
      <c r="M18" s="258" t="s">
        <v>234</v>
      </c>
      <c r="N18" s="259"/>
      <c r="O18" s="259"/>
      <c r="P18" s="259"/>
      <c r="Q18" s="259"/>
      <c r="R18" s="259"/>
      <c r="S18" s="259"/>
      <c r="T18" s="260"/>
      <c r="U18" s="4"/>
      <c r="V18" s="258" t="s">
        <v>235</v>
      </c>
      <c r="W18" s="259"/>
      <c r="X18" s="259"/>
      <c r="Y18" s="259"/>
      <c r="Z18" s="259"/>
      <c r="AA18" s="259"/>
      <c r="AB18" s="259"/>
      <c r="AC18" s="260"/>
      <c r="AD18" s="4"/>
      <c r="AE18" s="258" t="s">
        <v>236</v>
      </c>
      <c r="AF18" s="259"/>
      <c r="AG18" s="259"/>
      <c r="AH18" s="259"/>
      <c r="AI18" s="259"/>
      <c r="AJ18" s="259"/>
      <c r="AK18" s="259"/>
      <c r="AL18" s="259"/>
      <c r="AM18" s="260"/>
      <c r="AN18" s="4"/>
      <c r="AO18"/>
      <c r="AP18"/>
      <c r="AQ18"/>
      <c r="AR18"/>
      <c r="AS18"/>
      <c r="AT18" s="106"/>
    </row>
    <row r="19" spans="2:59" ht="15" customHeight="1" x14ac:dyDescent="0.25">
      <c r="B19" s="107"/>
      <c r="C19" s="4"/>
      <c r="D19" s="49"/>
      <c r="E19" s="4"/>
      <c r="F19" s="4"/>
      <c r="G19" s="4"/>
      <c r="H19" s="4"/>
      <c r="I19" s="4"/>
      <c r="J19" s="4"/>
      <c r="K19" s="50"/>
      <c r="L19" s="4"/>
      <c r="M19" s="49"/>
      <c r="N19" s="4"/>
      <c r="O19" s="4"/>
      <c r="P19" s="4"/>
      <c r="Q19" s="4"/>
      <c r="R19" s="4"/>
      <c r="S19" s="4"/>
      <c r="T19" s="50"/>
      <c r="U19" s="4"/>
      <c r="V19" s="49"/>
      <c r="W19" s="4"/>
      <c r="X19" s="4"/>
      <c r="Y19" s="4"/>
      <c r="Z19" s="4"/>
      <c r="AA19" s="4"/>
      <c r="AB19" s="4"/>
      <c r="AC19" s="50"/>
      <c r="AD19" s="4"/>
      <c r="AE19" s="49"/>
      <c r="AF19" s="4"/>
      <c r="AG19" s="4"/>
      <c r="AH19" s="4"/>
      <c r="AI19" s="4"/>
      <c r="AJ19" s="4"/>
      <c r="AK19" s="4"/>
      <c r="AL19" s="4"/>
      <c r="AM19" s="50"/>
      <c r="AN19" s="4"/>
      <c r="AO19"/>
      <c r="AP19"/>
      <c r="AQ19"/>
      <c r="AR19"/>
      <c r="AS19"/>
      <c r="AT19" s="106"/>
      <c r="AV19"/>
      <c r="AW19"/>
      <c r="AX19"/>
      <c r="AY19"/>
      <c r="AZ19"/>
      <c r="BA19"/>
    </row>
    <row r="20" spans="2:59" ht="15" customHeight="1" x14ac:dyDescent="0.25">
      <c r="B20" s="107"/>
      <c r="C20" s="4"/>
      <c r="D20" s="49"/>
      <c r="E20" s="130" t="s">
        <v>1</v>
      </c>
      <c r="G20" s="137" t="s">
        <v>171</v>
      </c>
      <c r="H20" s="136"/>
      <c r="I20" s="136"/>
      <c r="J20" s="124" t="s">
        <v>253</v>
      </c>
      <c r="K20" s="51"/>
      <c r="L20" s="4"/>
      <c r="M20" s="49"/>
      <c r="N20" s="132" t="s">
        <v>18</v>
      </c>
      <c r="O20" s="30"/>
      <c r="P20" s="244" t="s">
        <v>17</v>
      </c>
      <c r="Q20" s="244"/>
      <c r="R20" s="244"/>
      <c r="S20" s="244"/>
      <c r="T20" s="50"/>
      <c r="U20" s="4"/>
      <c r="V20" s="49"/>
      <c r="W20" s="132" t="s">
        <v>168</v>
      </c>
      <c r="X20" s="2" t="s">
        <v>221</v>
      </c>
      <c r="AB20" s="126">
        <v>2</v>
      </c>
      <c r="AC20" s="50"/>
      <c r="AD20" s="4"/>
      <c r="AE20" s="49"/>
      <c r="AF20" s="134" t="s">
        <v>167</v>
      </c>
      <c r="AG20" s="129"/>
      <c r="AH20" s="4"/>
      <c r="AI20" s="47"/>
      <c r="AJ20" s="131" t="s">
        <v>241</v>
      </c>
      <c r="AK20" s="4"/>
      <c r="AL20" s="126">
        <v>12</v>
      </c>
      <c r="AM20" s="50"/>
      <c r="AN20" s="4"/>
      <c r="AO20"/>
      <c r="AP20"/>
      <c r="AQ20"/>
      <c r="AR20"/>
      <c r="AS20"/>
      <c r="AT20" s="106"/>
      <c r="AV20"/>
      <c r="AW20"/>
      <c r="AX20"/>
      <c r="AY20"/>
      <c r="AZ20"/>
      <c r="BA20"/>
    </row>
    <row r="21" spans="2:59" ht="15" customHeight="1" x14ac:dyDescent="0.25">
      <c r="B21" s="107"/>
      <c r="C21" s="4"/>
      <c r="D21" s="49"/>
      <c r="E21" s="130" t="s">
        <v>172</v>
      </c>
      <c r="F21" s="103"/>
      <c r="G21" s="133" t="s">
        <v>173</v>
      </c>
      <c r="H21" s="27"/>
      <c r="I21" s="29"/>
      <c r="J21" s="32">
        <v>20000</v>
      </c>
      <c r="K21" s="50"/>
      <c r="L21" s="4"/>
      <c r="M21" s="49"/>
      <c r="N21" s="158"/>
      <c r="T21" s="50"/>
      <c r="U21" s="4"/>
      <c r="V21" s="49"/>
      <c r="W21" s="131"/>
      <c r="X21" s="2" t="s">
        <v>31</v>
      </c>
      <c r="AB21" s="126" t="s">
        <v>30</v>
      </c>
      <c r="AC21" s="50"/>
      <c r="AD21" s="4"/>
      <c r="AE21" s="49"/>
      <c r="AF21" s="129"/>
      <c r="AG21" s="129"/>
      <c r="AH21" s="129"/>
      <c r="AI21" s="47"/>
      <c r="AJ21" s="131" t="s">
        <v>226</v>
      </c>
      <c r="AK21" s="4"/>
      <c r="AL21" s="126" t="s">
        <v>29</v>
      </c>
      <c r="AM21" s="50"/>
      <c r="AN21" s="4"/>
      <c r="AO21"/>
      <c r="AP21"/>
      <c r="AQ21"/>
      <c r="AR21"/>
      <c r="AS21"/>
      <c r="AT21" s="106"/>
      <c r="AV21"/>
      <c r="AW21"/>
      <c r="AX21"/>
      <c r="AY21"/>
      <c r="AZ21"/>
      <c r="BA21"/>
    </row>
    <row r="22" spans="2:59" ht="15" customHeight="1" x14ac:dyDescent="0.25">
      <c r="B22" s="107"/>
      <c r="C22" s="4"/>
      <c r="D22" s="49"/>
      <c r="E22" s="130"/>
      <c r="F22" s="103"/>
      <c r="G22" s="133" t="s">
        <v>174</v>
      </c>
      <c r="H22" s="27"/>
      <c r="I22" s="29"/>
      <c r="J22" s="32">
        <v>1000</v>
      </c>
      <c r="K22" s="50"/>
      <c r="L22" s="4"/>
      <c r="M22" s="49"/>
      <c r="N22" s="132" t="s">
        <v>258</v>
      </c>
      <c r="O22" s="30"/>
      <c r="P22" s="244" t="s">
        <v>21</v>
      </c>
      <c r="Q22" s="244"/>
      <c r="R22" s="244"/>
      <c r="S22" s="244"/>
      <c r="T22" s="50"/>
      <c r="U22" s="4"/>
      <c r="V22" s="49"/>
      <c r="W22" s="158"/>
      <c r="AC22" s="50"/>
      <c r="AD22" s="4"/>
      <c r="AE22" s="49"/>
      <c r="AF22" s="4"/>
      <c r="AG22" s="4"/>
      <c r="AH22" s="4"/>
      <c r="AI22" s="4"/>
      <c r="AJ22" s="131"/>
      <c r="AK22" s="4"/>
      <c r="AL22" s="125"/>
      <c r="AM22" s="50"/>
      <c r="AN22" s="4"/>
      <c r="AO22"/>
      <c r="AP22"/>
      <c r="AQ22"/>
      <c r="AR22"/>
      <c r="AS22"/>
      <c r="AT22" s="106"/>
      <c r="AV22"/>
      <c r="AW22"/>
      <c r="AX22"/>
      <c r="AY22"/>
      <c r="AZ22"/>
      <c r="BA22"/>
      <c r="BB22"/>
      <c r="BC22"/>
      <c r="BD22"/>
      <c r="BE22"/>
      <c r="BF22"/>
      <c r="BG22"/>
    </row>
    <row r="23" spans="2:59" ht="15" customHeight="1" x14ac:dyDescent="0.25">
      <c r="B23" s="107"/>
      <c r="C23" s="4"/>
      <c r="D23" s="49"/>
      <c r="E23" s="155"/>
      <c r="G23" s="2" t="s">
        <v>219</v>
      </c>
      <c r="J23" s="126">
        <v>400</v>
      </c>
      <c r="K23" s="50"/>
      <c r="L23" s="4"/>
      <c r="M23" s="49"/>
      <c r="N23" s="158"/>
      <c r="T23" s="50"/>
      <c r="U23" s="4"/>
      <c r="V23" s="49"/>
      <c r="W23" s="132" t="s">
        <v>169</v>
      </c>
      <c r="X23" s="131" t="s">
        <v>222</v>
      </c>
      <c r="AB23" s="48">
        <v>1</v>
      </c>
      <c r="AC23" s="50"/>
      <c r="AD23" s="4"/>
      <c r="AE23" s="49"/>
      <c r="AF23" s="132" t="s">
        <v>32</v>
      </c>
      <c r="AG23" s="4"/>
      <c r="AH23" s="4"/>
      <c r="AI23" s="5"/>
      <c r="AJ23" s="131" t="s">
        <v>227</v>
      </c>
      <c r="AK23" s="4"/>
      <c r="AL23" s="126">
        <v>4</v>
      </c>
      <c r="AM23" s="50"/>
      <c r="AN23" s="4"/>
      <c r="AO23"/>
      <c r="AP23"/>
      <c r="AQ23"/>
      <c r="AR23"/>
      <c r="AS23"/>
      <c r="AT23" s="106"/>
      <c r="AV23"/>
      <c r="AW23" s="225"/>
      <c r="AX23"/>
      <c r="AY23"/>
      <c r="AZ23"/>
      <c r="BA23"/>
      <c r="BB23"/>
      <c r="BC23"/>
      <c r="BD23"/>
      <c r="BE23"/>
      <c r="BF23"/>
      <c r="BG23"/>
    </row>
    <row r="24" spans="2:59" ht="15" customHeight="1" x14ac:dyDescent="0.25">
      <c r="B24" s="107"/>
      <c r="C24" s="4"/>
      <c r="D24" s="49"/>
      <c r="E24" s="156" t="s">
        <v>261</v>
      </c>
      <c r="G24" s="2" t="s">
        <v>218</v>
      </c>
      <c r="J24" s="126">
        <v>10</v>
      </c>
      <c r="K24" s="50"/>
      <c r="L24" s="4"/>
      <c r="M24" s="49"/>
      <c r="N24" s="159" t="s">
        <v>257</v>
      </c>
      <c r="P24" s="245" t="s">
        <v>160</v>
      </c>
      <c r="Q24" s="245"/>
      <c r="R24" s="245"/>
      <c r="S24" s="245"/>
      <c r="T24" s="50"/>
      <c r="U24" s="4"/>
      <c r="V24" s="49"/>
      <c r="W24" s="131"/>
      <c r="X24" s="131" t="s">
        <v>223</v>
      </c>
      <c r="AB24" s="126">
        <v>0</v>
      </c>
      <c r="AC24" s="50"/>
      <c r="AD24" s="4"/>
      <c r="AE24" s="49"/>
      <c r="AF24" s="24"/>
      <c r="AG24" s="24"/>
      <c r="AH24" s="24"/>
      <c r="AI24" s="4"/>
      <c r="AJ24" s="131" t="s">
        <v>228</v>
      </c>
      <c r="AK24" s="4"/>
      <c r="AL24" s="126">
        <v>800</v>
      </c>
      <c r="AM24" s="50"/>
      <c r="AN24" s="4"/>
      <c r="AO24"/>
      <c r="AP24"/>
      <c r="AQ24"/>
      <c r="AR24"/>
      <c r="AS24"/>
      <c r="AT24" s="106"/>
      <c r="AV24"/>
      <c r="AW24"/>
      <c r="AX24"/>
      <c r="AY24"/>
      <c r="AZ24"/>
      <c r="BA24"/>
      <c r="BB24"/>
      <c r="BC24"/>
      <c r="BD24"/>
      <c r="BE24"/>
      <c r="BF24"/>
      <c r="BG24"/>
    </row>
    <row r="25" spans="2:59" ht="15" customHeight="1" x14ac:dyDescent="0.25">
      <c r="B25" s="107"/>
      <c r="C25" s="4"/>
      <c r="D25" s="49"/>
      <c r="E25" s="155"/>
      <c r="G25" s="2" t="s">
        <v>217</v>
      </c>
      <c r="J25" s="33">
        <v>0.05</v>
      </c>
      <c r="K25" s="50"/>
      <c r="L25" s="4"/>
      <c r="M25" s="49"/>
      <c r="T25" s="50"/>
      <c r="U25" s="4"/>
      <c r="V25" s="49"/>
      <c r="W25" s="131"/>
      <c r="X25" s="131" t="s">
        <v>224</v>
      </c>
      <c r="AB25" s="126">
        <v>1</v>
      </c>
      <c r="AC25" s="50"/>
      <c r="AD25" s="4"/>
      <c r="AE25" s="49"/>
      <c r="AF25" s="4"/>
      <c r="AG25" s="24"/>
      <c r="AH25" s="30"/>
      <c r="AI25" s="5"/>
      <c r="AJ25" s="131" t="s">
        <v>225</v>
      </c>
      <c r="AK25" s="4"/>
      <c r="AL25" s="23">
        <v>0.25</v>
      </c>
      <c r="AM25" s="50"/>
      <c r="AN25" s="4"/>
      <c r="AO25"/>
      <c r="AP25"/>
      <c r="AQ25"/>
      <c r="AR25"/>
      <c r="AS25"/>
      <c r="AT25" s="106"/>
      <c r="AV25"/>
      <c r="AW25"/>
      <c r="AX25"/>
      <c r="AY25"/>
      <c r="AZ25"/>
      <c r="BA25"/>
    </row>
    <row r="26" spans="2:59" ht="15" customHeight="1" thickBot="1" x14ac:dyDescent="0.3">
      <c r="B26" s="107"/>
      <c r="C26" s="4"/>
      <c r="D26" s="49"/>
      <c r="E26" s="157"/>
      <c r="F26" s="4"/>
      <c r="G26" s="4" t="s">
        <v>216</v>
      </c>
      <c r="H26" s="4"/>
      <c r="I26" s="4"/>
      <c r="J26" s="126">
        <v>3</v>
      </c>
      <c r="K26" s="50"/>
      <c r="L26" s="4"/>
      <c r="M26" s="49"/>
      <c r="N26" s="250" t="s">
        <v>27</v>
      </c>
      <c r="O26" s="250"/>
      <c r="P26" s="250"/>
      <c r="Q26" s="250"/>
      <c r="R26" s="250"/>
      <c r="S26" s="250"/>
      <c r="T26" s="50"/>
      <c r="U26" s="4"/>
      <c r="V26" s="49"/>
      <c r="W26" s="158"/>
      <c r="AC26" s="50"/>
      <c r="AD26" s="4"/>
      <c r="AE26" s="52"/>
      <c r="AF26" s="53"/>
      <c r="AG26" s="53"/>
      <c r="AH26" s="53"/>
      <c r="AI26" s="53"/>
      <c r="AJ26" s="53"/>
      <c r="AK26" s="53"/>
      <c r="AL26" s="53"/>
      <c r="AM26" s="54"/>
      <c r="AN26" s="4"/>
      <c r="AO26"/>
      <c r="AP26"/>
      <c r="AQ26"/>
      <c r="AR26"/>
      <c r="AS26"/>
      <c r="AT26" s="106"/>
      <c r="AV26"/>
      <c r="AW26"/>
      <c r="AX26"/>
      <c r="AY26"/>
      <c r="AZ26"/>
      <c r="BA26"/>
    </row>
    <row r="27" spans="2:59" ht="15" customHeight="1" x14ac:dyDescent="0.25">
      <c r="B27" s="107"/>
      <c r="C27" s="4"/>
      <c r="D27" s="49"/>
      <c r="E27" s="157"/>
      <c r="F27" s="4"/>
      <c r="G27" s="4" t="s">
        <v>215</v>
      </c>
      <c r="H27" s="4"/>
      <c r="I27" s="4"/>
      <c r="J27" s="138">
        <f>IF(WorkloadInitialCapacityInTB="","",ABS(FV(WorkloadExpansionPercentage,StorageLifeInYears,0,WorkloadInitialCapacityInTB,0)))</f>
        <v>11.576250000000002</v>
      </c>
      <c r="K27" s="50"/>
      <c r="L27" s="4"/>
      <c r="M27" s="49"/>
      <c r="N27" s="251" t="str">
        <f>IF(SolutionTemplateName="","",VLOOKUP(SpacesModel,SpacesModelTable[],2))</f>
        <v>Windows Server 2012 R2 + Updates</v>
      </c>
      <c r="O27" s="251"/>
      <c r="P27" s="251"/>
      <c r="Q27" s="251"/>
      <c r="R27" s="251"/>
      <c r="S27" s="251"/>
      <c r="T27" s="50"/>
      <c r="U27" s="4"/>
      <c r="V27" s="49"/>
      <c r="W27" s="132" t="s">
        <v>260</v>
      </c>
      <c r="X27" s="27" t="s">
        <v>170</v>
      </c>
      <c r="Y27" s="116"/>
      <c r="Z27"/>
      <c r="AA27"/>
      <c r="AB27" s="126" t="s">
        <v>8</v>
      </c>
      <c r="AC27" s="50"/>
      <c r="AD27" s="4"/>
      <c r="AE27" s="4"/>
      <c r="AF27" s="4"/>
      <c r="AG27" s="4"/>
      <c r="AH27" s="4"/>
      <c r="AI27" s="4"/>
      <c r="AJ27" s="4"/>
      <c r="AK27" s="4"/>
      <c r="AL27" s="4"/>
      <c r="AM27" s="4"/>
      <c r="AN27" s="4"/>
      <c r="AO27"/>
      <c r="AP27"/>
      <c r="AQ27"/>
      <c r="AR27"/>
      <c r="AS27"/>
      <c r="AT27" s="106"/>
    </row>
    <row r="28" spans="2:59" ht="15" customHeight="1" x14ac:dyDescent="0.25">
      <c r="B28" s="107"/>
      <c r="C28" s="4"/>
      <c r="D28" s="49"/>
      <c r="E28" s="257" t="s">
        <v>259</v>
      </c>
      <c r="F28" s="4"/>
      <c r="G28" s="4" t="s">
        <v>214</v>
      </c>
      <c r="H28" s="4"/>
      <c r="I28" s="4"/>
      <c r="J28" s="23">
        <v>0</v>
      </c>
      <c r="K28" s="50"/>
      <c r="L28" s="4"/>
      <c r="M28" s="49"/>
      <c r="N28" s="251"/>
      <c r="O28" s="251"/>
      <c r="P28" s="251"/>
      <c r="Q28" s="251"/>
      <c r="R28" s="251"/>
      <c r="S28" s="251"/>
      <c r="T28" s="50"/>
      <c r="U28" s="4"/>
      <c r="V28" s="49"/>
      <c r="W28" s="4"/>
      <c r="X28" s="22" t="s">
        <v>220</v>
      </c>
      <c r="Y28" s="4"/>
      <c r="AA28" s="4"/>
      <c r="AB28" s="126" t="s">
        <v>30</v>
      </c>
      <c r="AC28" s="50"/>
      <c r="AD28" s="4"/>
      <c r="AE28" s="4"/>
      <c r="AF28" s="4"/>
      <c r="AG28" s="4"/>
      <c r="AH28" s="4"/>
      <c r="AI28" s="4"/>
      <c r="AJ28" s="4"/>
      <c r="AK28" s="4"/>
      <c r="AL28" s="4"/>
      <c r="AM28" s="4"/>
      <c r="AN28"/>
      <c r="AO28"/>
      <c r="AP28"/>
      <c r="AQ28"/>
      <c r="AR28"/>
      <c r="AS28"/>
      <c r="AT28" s="106"/>
    </row>
    <row r="29" spans="2:59" ht="15" customHeight="1" x14ac:dyDescent="0.25">
      <c r="B29" s="107"/>
      <c r="C29" s="4"/>
      <c r="D29" s="49"/>
      <c r="E29" s="257"/>
      <c r="F29" s="4"/>
      <c r="G29" s="4" t="s">
        <v>213</v>
      </c>
      <c r="H29" s="4"/>
      <c r="I29" s="4"/>
      <c r="J29" s="23">
        <v>0</v>
      </c>
      <c r="K29" s="50"/>
      <c r="L29" s="4"/>
      <c r="M29" s="49"/>
      <c r="T29" s="50"/>
      <c r="U29" s="4"/>
      <c r="V29" s="49"/>
      <c r="W29" s="4"/>
      <c r="X29" s="22" t="s">
        <v>262</v>
      </c>
      <c r="Y29" s="4"/>
      <c r="AA29" s="4"/>
      <c r="AB29" s="126">
        <v>4</v>
      </c>
      <c r="AC29" s="50"/>
      <c r="AD29" s="4"/>
      <c r="AE29" s="4"/>
      <c r="AF29" s="4"/>
      <c r="AG29" s="4"/>
      <c r="AH29" s="4"/>
      <c r="AI29" s="4"/>
      <c r="AJ29" s="4"/>
      <c r="AK29" s="4"/>
      <c r="AL29" s="4"/>
      <c r="AM29" s="4"/>
      <c r="AN29"/>
      <c r="AO29"/>
      <c r="AP29"/>
      <c r="AQ29"/>
      <c r="AR29"/>
      <c r="AS29"/>
      <c r="AT29" s="106"/>
    </row>
    <row r="30" spans="2:59" ht="8.25" customHeight="1" thickBot="1" x14ac:dyDescent="0.3">
      <c r="B30" s="107"/>
      <c r="C30" s="4"/>
      <c r="D30" s="52"/>
      <c r="E30" s="53"/>
      <c r="F30" s="53"/>
      <c r="G30" s="53"/>
      <c r="H30" s="53"/>
      <c r="I30" s="53"/>
      <c r="J30" s="53"/>
      <c r="K30" s="54"/>
      <c r="L30" s="4"/>
      <c r="M30" s="52"/>
      <c r="N30" s="53"/>
      <c r="O30" s="53"/>
      <c r="P30" s="53"/>
      <c r="Q30" s="53"/>
      <c r="R30" s="53"/>
      <c r="S30" s="53"/>
      <c r="T30" s="54"/>
      <c r="U30" s="4"/>
      <c r="V30" s="52"/>
      <c r="W30" s="53"/>
      <c r="X30" s="53"/>
      <c r="Y30" s="53"/>
      <c r="Z30" s="53"/>
      <c r="AA30" s="53"/>
      <c r="AB30" s="53"/>
      <c r="AC30" s="54"/>
      <c r="AD30" s="4"/>
      <c r="AE30" s="4"/>
      <c r="AF30" s="4"/>
      <c r="AG30" s="4"/>
      <c r="AH30" s="4"/>
      <c r="AI30" s="4"/>
      <c r="AJ30" s="4"/>
      <c r="AK30" s="4"/>
      <c r="AL30" s="4"/>
      <c r="AM30" s="4"/>
      <c r="AN30"/>
      <c r="AO30"/>
      <c r="AP30"/>
      <c r="AQ30"/>
      <c r="AR30"/>
      <c r="AS30"/>
      <c r="AT30" s="106"/>
      <c r="AV30"/>
      <c r="AW30"/>
      <c r="AX30"/>
      <c r="AY30"/>
      <c r="AZ30"/>
      <c r="BA30"/>
    </row>
    <row r="31" spans="2:59" ht="15" customHeight="1" x14ac:dyDescent="0.25">
      <c r="B31" s="107"/>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c r="AQ31" s="4"/>
      <c r="AR31" s="4"/>
      <c r="AS31" s="4"/>
      <c r="AT31" s="106"/>
      <c r="AV31"/>
      <c r="AW31"/>
      <c r="AX31"/>
      <c r="AY31"/>
      <c r="AZ31"/>
      <c r="BA31"/>
    </row>
    <row r="32" spans="2:59" ht="15" customHeight="1" x14ac:dyDescent="0.25">
      <c r="B32" s="107"/>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c r="AQ32" s="4"/>
      <c r="AR32" s="4"/>
      <c r="AS32" s="4"/>
      <c r="AT32" s="106"/>
      <c r="AV32"/>
      <c r="AW32"/>
      <c r="AX32"/>
      <c r="AY32"/>
      <c r="AZ32"/>
      <c r="BA32"/>
    </row>
    <row r="33" spans="2:53" ht="15" customHeight="1" x14ac:dyDescent="0.25">
      <c r="B33" s="107"/>
      <c r="C33" s="4"/>
      <c r="D33" s="4"/>
      <c r="E33" s="235" t="s">
        <v>282</v>
      </c>
      <c r="F33" s="235"/>
      <c r="G33" s="235"/>
      <c r="H33" s="235"/>
      <c r="I33" s="235"/>
      <c r="J33" s="235"/>
      <c r="K33" s="235"/>
      <c r="L33" s="235"/>
      <c r="M33" s="235"/>
      <c r="N33" s="235"/>
      <c r="O33" s="235"/>
      <c r="P33" s="235"/>
      <c r="Q33" s="235"/>
      <c r="R33" s="235"/>
      <c r="S33" s="235"/>
      <c r="T33" s="4"/>
      <c r="U33" s="4"/>
      <c r="V33" s="4"/>
      <c r="X33" s="252" t="s">
        <v>240</v>
      </c>
      <c r="Y33" s="252"/>
      <c r="Z33" s="252"/>
      <c r="AA33" s="252"/>
      <c r="AB33" s="252"/>
      <c r="AC33" s="252"/>
      <c r="AD33" s="252"/>
      <c r="AE33" s="252"/>
      <c r="AF33" s="252"/>
      <c r="AG33" s="252"/>
      <c r="AH33" s="252"/>
      <c r="AI33" s="252"/>
      <c r="AJ33" s="252"/>
      <c r="AK33" s="252"/>
      <c r="AL33" s="252"/>
      <c r="AM33" s="252"/>
      <c r="AN33" s="252"/>
      <c r="AO33" s="252"/>
      <c r="AP33" s="252"/>
      <c r="AQ33" s="252"/>
      <c r="AS33" s="4"/>
      <c r="AT33" s="106"/>
      <c r="AV33"/>
      <c r="AW33"/>
      <c r="AX33"/>
      <c r="AY33"/>
      <c r="AZ33"/>
      <c r="BA33"/>
    </row>
    <row r="34" spans="2:53" ht="15" customHeight="1" x14ac:dyDescent="0.25">
      <c r="B34" s="107"/>
      <c r="C34" s="4"/>
      <c r="D34" s="4"/>
      <c r="E34" s="235"/>
      <c r="F34" s="235"/>
      <c r="G34" s="235"/>
      <c r="H34" s="235"/>
      <c r="I34" s="235"/>
      <c r="J34" s="235"/>
      <c r="K34" s="235"/>
      <c r="L34" s="235"/>
      <c r="M34" s="235"/>
      <c r="N34" s="235"/>
      <c r="O34" s="235"/>
      <c r="P34" s="235"/>
      <c r="Q34" s="235"/>
      <c r="R34" s="235"/>
      <c r="S34" s="235"/>
      <c r="T34" s="4"/>
      <c r="U34" s="4"/>
      <c r="V34" s="4"/>
      <c r="X34" s="252"/>
      <c r="Y34" s="252"/>
      <c r="Z34" s="252"/>
      <c r="AA34" s="252"/>
      <c r="AB34" s="252"/>
      <c r="AC34" s="252"/>
      <c r="AD34" s="252"/>
      <c r="AE34" s="252"/>
      <c r="AF34" s="252"/>
      <c r="AG34" s="252"/>
      <c r="AH34" s="252"/>
      <c r="AI34" s="252"/>
      <c r="AJ34" s="252"/>
      <c r="AK34" s="252"/>
      <c r="AL34" s="252"/>
      <c r="AM34" s="252"/>
      <c r="AN34" s="252"/>
      <c r="AO34" s="252"/>
      <c r="AP34" s="252"/>
      <c r="AQ34" s="252"/>
      <c r="AR34"/>
      <c r="AS34"/>
      <c r="AT34" s="106"/>
      <c r="AV34"/>
      <c r="AW34"/>
      <c r="AX34"/>
      <c r="AY34"/>
      <c r="AZ34"/>
      <c r="BA34"/>
    </row>
    <row r="35" spans="2:53" ht="15" customHeight="1" x14ac:dyDescent="0.25">
      <c r="B35" s="107"/>
      <c r="C35" s="4"/>
      <c r="D35" s="4"/>
      <c r="E35" s="235"/>
      <c r="F35" s="235"/>
      <c r="G35" s="235"/>
      <c r="H35" s="235"/>
      <c r="I35" s="235"/>
      <c r="J35" s="235"/>
      <c r="K35" s="235"/>
      <c r="L35" s="235"/>
      <c r="M35" s="235"/>
      <c r="N35" s="235"/>
      <c r="O35" s="235"/>
      <c r="P35" s="235"/>
      <c r="Q35" s="235"/>
      <c r="R35" s="235"/>
      <c r="S35" s="235"/>
      <c r="T35" s="4"/>
      <c r="U35" s="4"/>
      <c r="V35" s="4"/>
      <c r="X35" s="252"/>
      <c r="Y35" s="252"/>
      <c r="Z35" s="252"/>
      <c r="AA35" s="252"/>
      <c r="AB35" s="252"/>
      <c r="AC35" s="252"/>
      <c r="AD35" s="252"/>
      <c r="AE35" s="252"/>
      <c r="AF35" s="252"/>
      <c r="AG35" s="252"/>
      <c r="AH35" s="252"/>
      <c r="AI35" s="252"/>
      <c r="AJ35" s="252"/>
      <c r="AK35" s="252"/>
      <c r="AL35" s="252"/>
      <c r="AM35" s="252"/>
      <c r="AN35" s="252"/>
      <c r="AO35" s="252"/>
      <c r="AP35" s="252"/>
      <c r="AQ35" s="252"/>
      <c r="AR35"/>
      <c r="AS35"/>
      <c r="AT35" s="106"/>
      <c r="AV35"/>
      <c r="AW35"/>
      <c r="AX35"/>
      <c r="AY35"/>
      <c r="AZ35"/>
      <c r="BA35"/>
    </row>
    <row r="36" spans="2:53" ht="15" customHeight="1" x14ac:dyDescent="0.25">
      <c r="B36" s="107"/>
      <c r="C36" s="4"/>
      <c r="D36" s="4"/>
      <c r="E36" s="4"/>
      <c r="F36" s="4"/>
      <c r="G36" s="4"/>
      <c r="H36" s="4"/>
      <c r="I36" s="4"/>
      <c r="J36" s="4"/>
      <c r="K36" s="4"/>
      <c r="L36" s="4"/>
      <c r="M36" s="4"/>
      <c r="N36" s="4"/>
      <c r="O36" s="4"/>
      <c r="P36" s="4"/>
      <c r="Q36" s="4"/>
      <c r="R36" s="4"/>
      <c r="S36" s="4"/>
      <c r="T36" s="4"/>
      <c r="U36" s="4"/>
      <c r="V36" s="4"/>
      <c r="AA36"/>
      <c r="AB36"/>
      <c r="AC36"/>
      <c r="AD36"/>
      <c r="AE36"/>
      <c r="AF36"/>
      <c r="AG36"/>
      <c r="AH36"/>
      <c r="AI36"/>
      <c r="AJ36"/>
      <c r="AK36"/>
      <c r="AL36"/>
      <c r="AM36"/>
      <c r="AN36"/>
      <c r="AO36"/>
      <c r="AP36"/>
      <c r="AQ36"/>
      <c r="AR36"/>
      <c r="AS36"/>
      <c r="AT36" s="106"/>
      <c r="AV36"/>
      <c r="AW36"/>
      <c r="AX36"/>
      <c r="AY36"/>
      <c r="AZ36"/>
      <c r="BA36"/>
    </row>
    <row r="37" spans="2:53" ht="24.75" customHeight="1" thickBot="1" x14ac:dyDescent="0.25">
      <c r="B37" s="107"/>
      <c r="C37" s="4"/>
      <c r="D37" s="4"/>
      <c r="E37" s="4"/>
      <c r="F37" s="4"/>
      <c r="G37" s="4"/>
      <c r="H37" s="4"/>
      <c r="I37" s="4"/>
      <c r="J37" s="4"/>
      <c r="K37" s="4"/>
      <c r="L37" s="4"/>
      <c r="M37" s="4"/>
      <c r="N37" s="4"/>
      <c r="O37" s="4"/>
      <c r="P37" s="4"/>
      <c r="Q37" s="4"/>
      <c r="R37" s="4"/>
      <c r="S37" s="4"/>
      <c r="T37" s="4"/>
      <c r="U37" s="4"/>
      <c r="V37" s="4"/>
      <c r="AQ37" s="4"/>
      <c r="AR37" s="4"/>
      <c r="AS37" s="4"/>
      <c r="AT37" s="106"/>
    </row>
    <row r="38" spans="2:53" ht="15" customHeight="1" x14ac:dyDescent="0.45">
      <c r="B38" s="107"/>
      <c r="C38" s="4"/>
      <c r="D38" s="227" t="s">
        <v>79</v>
      </c>
      <c r="E38" s="228"/>
      <c r="F38" s="115"/>
      <c r="G38" s="248">
        <f>IF(SolutionTemplateName="","",SofsCount)</f>
        <v>2</v>
      </c>
      <c r="H38" s="246" t="s">
        <v>26</v>
      </c>
      <c r="I38" s="115"/>
      <c r="J38" s="248">
        <f>IF(SolutionTemplateName="","",IntialJbodCount)</f>
        <v>2</v>
      </c>
      <c r="K38" s="41"/>
      <c r="L38" s="4"/>
      <c r="M38" s="227" t="s">
        <v>255</v>
      </c>
      <c r="N38" s="228"/>
      <c r="O38" s="228"/>
      <c r="P38" s="228"/>
      <c r="Q38" s="228"/>
      <c r="R38" s="35"/>
      <c r="S38" s="35"/>
      <c r="T38" s="36"/>
      <c r="U38" s="25"/>
      <c r="V38" s="25"/>
      <c r="W38" s="25"/>
      <c r="X38" s="252" t="s">
        <v>278</v>
      </c>
      <c r="Y38" s="252"/>
      <c r="Z38" s="252"/>
      <c r="AA38" s="252"/>
      <c r="AB38" s="252"/>
      <c r="AC38" s="252"/>
      <c r="AD38" s="252"/>
      <c r="AE38" s="252"/>
      <c r="AF38" s="252"/>
      <c r="AG38" s="252"/>
      <c r="AH38" s="252"/>
      <c r="AI38" s="252"/>
      <c r="AJ38" s="252"/>
      <c r="AK38" s="252"/>
      <c r="AL38" s="252"/>
      <c r="AM38" s="252"/>
      <c r="AN38" s="252"/>
      <c r="AO38" s="252"/>
      <c r="AP38" s="252"/>
      <c r="AQ38" s="252"/>
      <c r="AR38" s="4"/>
      <c r="AS38" s="4"/>
      <c r="AT38" s="106"/>
    </row>
    <row r="39" spans="2:53" ht="15" customHeight="1" x14ac:dyDescent="0.45">
      <c r="B39" s="107"/>
      <c r="C39" s="4"/>
      <c r="D39" s="229"/>
      <c r="E39" s="230"/>
      <c r="F39" s="31"/>
      <c r="G39" s="249"/>
      <c r="H39" s="247"/>
      <c r="I39" s="31"/>
      <c r="J39" s="249"/>
      <c r="K39" s="8"/>
      <c r="L39" s="4"/>
      <c r="M39" s="229"/>
      <c r="N39" s="230"/>
      <c r="O39" s="230"/>
      <c r="P39" s="230"/>
      <c r="Q39" s="230"/>
      <c r="R39" s="31"/>
      <c r="T39" s="37"/>
      <c r="U39" s="25"/>
      <c r="V39" s="25"/>
      <c r="W39" s="25"/>
      <c r="X39" s="252"/>
      <c r="Y39" s="252"/>
      <c r="Z39" s="252"/>
      <c r="AA39" s="252"/>
      <c r="AB39" s="252"/>
      <c r="AC39" s="252"/>
      <c r="AD39" s="252"/>
      <c r="AE39" s="252"/>
      <c r="AF39" s="252"/>
      <c r="AG39" s="252"/>
      <c r="AH39" s="252"/>
      <c r="AI39" s="252"/>
      <c r="AJ39" s="252"/>
      <c r="AK39" s="252"/>
      <c r="AL39" s="252"/>
      <c r="AM39" s="252"/>
      <c r="AN39" s="252"/>
      <c r="AO39" s="252"/>
      <c r="AP39" s="252"/>
      <c r="AQ39" s="252"/>
      <c r="AR39" s="4"/>
      <c r="AS39" s="4"/>
      <c r="AT39" s="106"/>
    </row>
    <row r="40" spans="2:53" ht="15" customHeight="1" x14ac:dyDescent="0.25">
      <c r="B40" s="107"/>
      <c r="C40" s="4"/>
      <c r="D40" s="229"/>
      <c r="E40" s="230"/>
      <c r="F40" s="22"/>
      <c r="G40" s="125" t="s">
        <v>193</v>
      </c>
      <c r="H40" s="4"/>
      <c r="I40" s="4"/>
      <c r="J40" s="114" t="s">
        <v>167</v>
      </c>
      <c r="K40" s="8"/>
      <c r="L40" s="4"/>
      <c r="M40" s="100"/>
      <c r="N40" s="160" t="s">
        <v>222</v>
      </c>
      <c r="O40" s="31"/>
      <c r="P40" s="31"/>
      <c r="Q40" s="29"/>
      <c r="R40" s="31"/>
      <c r="S40" s="38">
        <f>IF(SolutionTemplateName="","",WorkloadPoolCount)</f>
        <v>1</v>
      </c>
      <c r="T40" s="37"/>
      <c r="U40" s="4"/>
      <c r="V40" s="4"/>
      <c r="W40" s="27"/>
      <c r="X40" s="252"/>
      <c r="Y40" s="252"/>
      <c r="Z40" s="252"/>
      <c r="AA40" s="252"/>
      <c r="AB40" s="252"/>
      <c r="AC40" s="252"/>
      <c r="AD40" s="252"/>
      <c r="AE40" s="252"/>
      <c r="AF40" s="252"/>
      <c r="AG40" s="252"/>
      <c r="AH40" s="252"/>
      <c r="AI40" s="252"/>
      <c r="AJ40" s="252"/>
      <c r="AK40" s="252"/>
      <c r="AL40" s="252"/>
      <c r="AM40" s="252"/>
      <c r="AN40" s="252"/>
      <c r="AO40" s="252"/>
      <c r="AP40" s="252"/>
      <c r="AQ40" s="252"/>
      <c r="AR40" s="4"/>
      <c r="AS40" s="4"/>
      <c r="AT40" s="106"/>
    </row>
    <row r="41" spans="2:53" ht="15" customHeight="1" thickBot="1" x14ac:dyDescent="0.3">
      <c r="B41" s="107"/>
      <c r="C41" s="4"/>
      <c r="D41" s="100"/>
      <c r="E41" s="4"/>
      <c r="F41" s="4"/>
      <c r="G41" s="4"/>
      <c r="H41" s="4"/>
      <c r="I41" s="4"/>
      <c r="J41" s="4"/>
      <c r="K41" s="8"/>
      <c r="L41" s="4"/>
      <c r="M41" s="28"/>
      <c r="N41" s="4"/>
      <c r="O41" s="133" t="s">
        <v>242</v>
      </c>
      <c r="P41" s="29"/>
      <c r="S41" s="216">
        <f>IF(SolutionTemplateName="","",Calculations!H16)</f>
        <v>9</v>
      </c>
      <c r="T41" s="8"/>
      <c r="U41" s="4"/>
      <c r="V41" s="4"/>
      <c r="W41" s="4"/>
      <c r="X41"/>
      <c r="Y41"/>
      <c r="Z41"/>
      <c r="AA41"/>
      <c r="AB41"/>
      <c r="AC41"/>
      <c r="AD41"/>
      <c r="AE41"/>
      <c r="AF41"/>
      <c r="AG41"/>
      <c r="AH41"/>
      <c r="AI41"/>
      <c r="AJ41"/>
      <c r="AK41"/>
      <c r="AL41"/>
      <c r="AM41"/>
      <c r="AN41"/>
      <c r="AO41"/>
      <c r="AP41"/>
      <c r="AQ41"/>
      <c r="AS41" s="4"/>
      <c r="AT41" s="106"/>
    </row>
    <row r="42" spans="2:53" ht="15" customHeight="1" x14ac:dyDescent="0.25">
      <c r="B42" s="107"/>
      <c r="C42" s="4"/>
      <c r="D42" s="6"/>
      <c r="E42" s="131" t="s">
        <v>209</v>
      </c>
      <c r="F42" s="22"/>
      <c r="G42" s="4"/>
      <c r="I42" s="4"/>
      <c r="J42" s="34">
        <f>IF(SolutionTemplateName="","",PoolCapacityRawTotalInTiB/TBtoTiB)</f>
        <v>76.8</v>
      </c>
      <c r="K42" s="8"/>
      <c r="L42" s="4"/>
      <c r="M42" s="7"/>
      <c r="N42" s="29"/>
      <c r="O42" s="133" t="s">
        <v>243</v>
      </c>
      <c r="P42" s="29"/>
      <c r="R42" s="31"/>
      <c r="S42" s="216">
        <f>IF(SolutionTemplateName="","",Calculations!H17)</f>
        <v>3</v>
      </c>
      <c r="T42" s="8"/>
      <c r="U42" s="4"/>
      <c r="V42" s="4"/>
      <c r="W42" s="4"/>
      <c r="Y42" s="253" t="s">
        <v>198</v>
      </c>
      <c r="Z42" s="254"/>
      <c r="AA42" s="254"/>
      <c r="AB42" s="254"/>
      <c r="AC42" s="254"/>
      <c r="AD42" s="163"/>
      <c r="AE42" s="163"/>
      <c r="AF42" s="163"/>
      <c r="AG42" s="163"/>
      <c r="AH42" s="163"/>
      <c r="AI42" s="163"/>
      <c r="AJ42" s="163"/>
      <c r="AK42" s="164"/>
      <c r="AL42"/>
      <c r="AM42"/>
      <c r="AN42"/>
      <c r="AO42"/>
      <c r="AP42"/>
      <c r="AQ42"/>
      <c r="AR42"/>
      <c r="AS42" s="4"/>
      <c r="AT42" s="106"/>
    </row>
    <row r="43" spans="2:53" ht="15" customHeight="1" x14ac:dyDescent="0.25">
      <c r="B43" s="107"/>
      <c r="C43" s="4"/>
      <c r="D43" s="6"/>
      <c r="E43" s="158" t="s">
        <v>210</v>
      </c>
      <c r="F43" s="22"/>
      <c r="G43" s="4"/>
      <c r="J43" s="217">
        <f>IF(SolutionTemplateName="","",(DraftHddCount*HddBackupPercentage*HddSizeInTB)+(DraftSsdCount*SsdBackupPercentage*SsdSizeInGB)/1000)</f>
        <v>0</v>
      </c>
      <c r="K43" s="8"/>
      <c r="L43" s="4"/>
      <c r="M43" s="6"/>
      <c r="O43" s="158" t="s">
        <v>244</v>
      </c>
      <c r="R43" s="31"/>
      <c r="S43" s="220">
        <f>IF(SolutionTemplateName="","",Calculations!H22)</f>
        <v>3.645791307091713</v>
      </c>
      <c r="T43" s="8"/>
      <c r="U43" s="4"/>
      <c r="V43" s="4"/>
      <c r="W43" s="4"/>
      <c r="Y43" s="255"/>
      <c r="Z43" s="256"/>
      <c r="AA43" s="256"/>
      <c r="AB43" s="256"/>
      <c r="AC43" s="256"/>
      <c r="AD43" s="31"/>
      <c r="AE43" s="31"/>
      <c r="AF43" s="31"/>
      <c r="AG43" s="31"/>
      <c r="AH43" s="31"/>
      <c r="AI43" s="31"/>
      <c r="AJ43" s="31"/>
      <c r="AK43" s="166"/>
      <c r="AL43"/>
      <c r="AM43"/>
      <c r="AN43"/>
      <c r="AO43"/>
      <c r="AP43"/>
      <c r="AQ43"/>
      <c r="AR43"/>
      <c r="AS43" s="4"/>
      <c r="AT43" s="106"/>
    </row>
    <row r="44" spans="2:53" ht="15" customHeight="1" x14ac:dyDescent="0.25">
      <c r="B44" s="107"/>
      <c r="C44" s="4"/>
      <c r="D44" s="6"/>
      <c r="E44" s="158" t="s">
        <v>211</v>
      </c>
      <c r="F44" s="22"/>
      <c r="G44" s="4"/>
      <c r="J44" s="217">
        <f>IF(SolutionTemplateName="","",SUM(J42:J43))</f>
        <v>76.8</v>
      </c>
      <c r="K44" s="8"/>
      <c r="M44" s="6"/>
      <c r="O44" s="158" t="s">
        <v>245</v>
      </c>
      <c r="S44" s="220">
        <f>IF(SolutionTemplateName="","",Calculations!H23)</f>
        <v>0</v>
      </c>
      <c r="T44" s="8"/>
      <c r="U44" s="4"/>
      <c r="V44" s="4"/>
      <c r="W44" s="4"/>
      <c r="X44" s="4"/>
      <c r="Y44" s="165"/>
      <c r="Z44" s="135" t="s">
        <v>197</v>
      </c>
      <c r="AB44" s="131" t="s">
        <v>202</v>
      </c>
      <c r="AC44" s="4"/>
      <c r="AD44" s="4"/>
      <c r="AE44" s="4"/>
      <c r="AF44" s="4"/>
      <c r="AG44" s="4"/>
      <c r="AI44" s="4"/>
      <c r="AJ44" s="171" t="s">
        <v>203</v>
      </c>
      <c r="AK44" s="167"/>
      <c r="AL44"/>
      <c r="AM44"/>
      <c r="AN44"/>
      <c r="AO44"/>
      <c r="AP44"/>
      <c r="AQ44"/>
      <c r="AR44"/>
      <c r="AS44" s="4"/>
      <c r="AT44" s="106"/>
    </row>
    <row r="45" spans="2:53" ht="15" customHeight="1" x14ac:dyDescent="0.2">
      <c r="B45" s="107"/>
      <c r="C45" s="4"/>
      <c r="D45" s="6"/>
      <c r="E45" s="158" t="s">
        <v>212</v>
      </c>
      <c r="F45" s="22"/>
      <c r="G45" s="4"/>
      <c r="J45" s="34">
        <f>IF(SolutionTemplateName="","",VirtualDiskSizeInPoolWithQuorumInTiB/TBtoTiB*SofsCount*VirtualDisksPerSofs)</f>
        <v>36.344013258752</v>
      </c>
      <c r="K45" s="8"/>
      <c r="M45" s="6"/>
      <c r="N45" s="135" t="s">
        <v>256</v>
      </c>
      <c r="S45" s="38">
        <f>IF(SolutionTemplateName="","",VirtualDisksPerSofs*SofsCount)</f>
        <v>8</v>
      </c>
      <c r="T45" s="8"/>
      <c r="U45" s="4"/>
      <c r="V45" s="4"/>
      <c r="W45" s="4"/>
      <c r="X45" s="4"/>
      <c r="Y45" s="165"/>
      <c r="Z45" s="4"/>
      <c r="AB45" s="131" t="s">
        <v>205</v>
      </c>
      <c r="AC45" s="4"/>
      <c r="AD45" s="4"/>
      <c r="AE45" s="4"/>
      <c r="AF45" s="4"/>
      <c r="AG45" s="4"/>
      <c r="AI45" s="4"/>
      <c r="AJ45" s="175" t="s">
        <v>199</v>
      </c>
      <c r="AK45" s="167"/>
      <c r="AS45" s="4"/>
      <c r="AT45" s="106"/>
    </row>
    <row r="46" spans="2:53" ht="15" customHeight="1" x14ac:dyDescent="0.25">
      <c r="B46" s="107"/>
      <c r="C46" s="4"/>
      <c r="D46" s="6"/>
      <c r="E46" s="158"/>
      <c r="F46" s="26"/>
      <c r="G46" s="29"/>
      <c r="K46" s="8"/>
      <c r="M46" s="6"/>
      <c r="O46" s="131" t="s">
        <v>280</v>
      </c>
      <c r="P46" s="113"/>
      <c r="R46" s="31"/>
      <c r="S46" s="173">
        <f>IF(SolutionTemplateName="","",Calculations!O17)</f>
        <v>4.1318359375</v>
      </c>
      <c r="T46" s="8"/>
      <c r="U46" s="4"/>
      <c r="V46" s="4"/>
      <c r="W46" s="4"/>
      <c r="X46" s="4"/>
      <c r="Y46" s="165"/>
      <c r="Z46" s="4"/>
      <c r="AB46" s="131" t="s">
        <v>201</v>
      </c>
      <c r="AC46" s="4"/>
      <c r="AD46" s="4"/>
      <c r="AE46" s="4"/>
      <c r="AF46" s="4"/>
      <c r="AG46" s="4"/>
      <c r="AI46" s="4"/>
      <c r="AJ46" s="171" t="s">
        <v>145</v>
      </c>
      <c r="AK46" s="167"/>
      <c r="AS46" s="4"/>
      <c r="AT46" s="106"/>
    </row>
    <row r="47" spans="2:53" ht="15" customHeight="1" x14ac:dyDescent="0.25">
      <c r="B47" s="107"/>
      <c r="C47" s="4"/>
      <c r="D47" s="6"/>
      <c r="E47" s="2" t="s">
        <v>298</v>
      </c>
      <c r="J47" s="21">
        <f>JbodCount</f>
        <v>2</v>
      </c>
      <c r="K47" s="8"/>
      <c r="M47" s="6"/>
      <c r="N47" s="4"/>
      <c r="O47" s="131" t="s">
        <v>246</v>
      </c>
      <c r="R47" s="31"/>
      <c r="S47" s="221">
        <f>IF(SolutionTemplateName="","",Calculations!O15)</f>
        <v>3.8623046875</v>
      </c>
      <c r="T47" s="8"/>
      <c r="U47" s="4"/>
      <c r="V47" s="4"/>
      <c r="W47" s="4"/>
      <c r="X47" s="4"/>
      <c r="Y47" s="165"/>
      <c r="Z47" s="4"/>
      <c r="AB47" s="131" t="s">
        <v>206</v>
      </c>
      <c r="AC47" s="4"/>
      <c r="AD47" s="4"/>
      <c r="AE47" s="4"/>
      <c r="AF47" s="4"/>
      <c r="AG47" s="4"/>
      <c r="AI47" s="4"/>
      <c r="AJ47" s="171" t="s">
        <v>194</v>
      </c>
      <c r="AK47" s="167"/>
      <c r="AS47" s="4"/>
      <c r="AT47" s="106"/>
    </row>
    <row r="48" spans="2:53" ht="15" customHeight="1" x14ac:dyDescent="0.25">
      <c r="B48" s="107"/>
      <c r="C48" s="4"/>
      <c r="D48" s="6"/>
      <c r="E48" s="131" t="s">
        <v>239</v>
      </c>
      <c r="F48" s="26"/>
      <c r="G48" s="29"/>
      <c r="I48" s="4"/>
      <c r="J48" s="21">
        <f>IF(SolutionTemplateName="","",FinalHddCount)</f>
        <v>18</v>
      </c>
      <c r="K48" s="8"/>
      <c r="M48" s="6"/>
      <c r="N48" s="4"/>
      <c r="O48" s="131" t="s">
        <v>254</v>
      </c>
      <c r="R48" s="31"/>
      <c r="S48" s="221">
        <f>IF(SolutionTemplateName="","",Calculations!O16)</f>
        <v>0.26953125</v>
      </c>
      <c r="T48" s="8"/>
      <c r="U48" s="4"/>
      <c r="V48" s="4"/>
      <c r="W48" s="4"/>
      <c r="X48" s="4"/>
      <c r="Y48" s="165"/>
      <c r="Z48" s="4"/>
      <c r="AB48" s="131" t="s">
        <v>207</v>
      </c>
      <c r="AC48" s="4"/>
      <c r="AD48" s="4"/>
      <c r="AE48" s="4"/>
      <c r="AF48" s="4"/>
      <c r="AG48" s="4"/>
      <c r="AI48" s="4"/>
      <c r="AJ48" s="171" t="s">
        <v>195</v>
      </c>
      <c r="AK48" s="167"/>
      <c r="AS48" s="4"/>
      <c r="AT48" s="106"/>
    </row>
    <row r="49" spans="2:46" ht="15" customHeight="1" x14ac:dyDescent="0.25">
      <c r="B49" s="107"/>
      <c r="C49" s="4"/>
      <c r="D49" s="6"/>
      <c r="E49" s="131" t="s">
        <v>238</v>
      </c>
      <c r="F49" s="26"/>
      <c r="G49" s="29"/>
      <c r="I49" s="4"/>
      <c r="J49" s="21">
        <f>IF(SolutionTemplateName="","",FinalSsdCount)</f>
        <v>6</v>
      </c>
      <c r="K49" s="8"/>
      <c r="M49" s="6"/>
      <c r="N49" s="4"/>
      <c r="O49" s="131" t="s">
        <v>192</v>
      </c>
      <c r="R49" s="31"/>
      <c r="S49" s="219">
        <f>IF(SolutionTemplateName="","",ColumnCount)</f>
        <v>3</v>
      </c>
      <c r="T49" s="8"/>
      <c r="U49" s="4"/>
      <c r="V49" s="4"/>
      <c r="W49" s="4"/>
      <c r="X49" s="4"/>
      <c r="Y49" s="165"/>
      <c r="Z49" s="135"/>
      <c r="AB49" s="131" t="s">
        <v>208</v>
      </c>
      <c r="AC49" s="4"/>
      <c r="AD49" s="4"/>
      <c r="AE49" s="4"/>
      <c r="AF49" s="4"/>
      <c r="AG49" s="4"/>
      <c r="AI49" s="4"/>
      <c r="AJ49" s="175" t="s">
        <v>145</v>
      </c>
      <c r="AK49" s="167"/>
      <c r="AS49" s="4"/>
      <c r="AT49" s="106"/>
    </row>
    <row r="50" spans="2:46" ht="15" customHeight="1" x14ac:dyDescent="0.2">
      <c r="B50" s="107"/>
      <c r="C50" s="4"/>
      <c r="D50" s="6"/>
      <c r="E50" s="131" t="s">
        <v>237</v>
      </c>
      <c r="F50" s="26"/>
      <c r="G50" s="29"/>
      <c r="I50" s="4"/>
      <c r="J50" s="218">
        <f>IF(SolutionTemplateName="","",InitialJbodCount*JbodSlotCount-(DraftHddCount+DraftSsdCount))</f>
        <v>0</v>
      </c>
      <c r="K50" s="8"/>
      <c r="M50" s="6"/>
      <c r="N50" s="4"/>
      <c r="O50" s="158" t="s">
        <v>204</v>
      </c>
      <c r="S50" s="219">
        <f>IF(SolutionTemplateName="","",WbcSizeInGiB)</f>
        <v>1</v>
      </c>
      <c r="T50" s="8"/>
      <c r="U50" s="4"/>
      <c r="V50" s="4"/>
      <c r="W50" s="4"/>
      <c r="X50" s="4"/>
      <c r="Y50" s="165"/>
      <c r="Z50" s="135" t="s">
        <v>169</v>
      </c>
      <c r="AB50" s="131" t="s">
        <v>196</v>
      </c>
      <c r="AC50" s="4"/>
      <c r="AD50" s="4"/>
      <c r="AE50" s="4"/>
      <c r="AF50" s="4"/>
      <c r="AG50" s="4"/>
      <c r="AI50" s="4"/>
      <c r="AJ50" s="171" t="s">
        <v>101</v>
      </c>
      <c r="AK50" s="167"/>
      <c r="AS50" s="4"/>
      <c r="AT50" s="106"/>
    </row>
    <row r="51" spans="2:46" ht="15" customHeight="1" thickBot="1" x14ac:dyDescent="0.3">
      <c r="B51" s="107"/>
      <c r="C51" s="4"/>
      <c r="D51" s="9"/>
      <c r="E51" s="10"/>
      <c r="F51" s="10"/>
      <c r="G51" s="10"/>
      <c r="H51" s="10"/>
      <c r="I51" s="10"/>
      <c r="J51" s="10"/>
      <c r="K51" s="11"/>
      <c r="L51" s="4"/>
      <c r="M51" s="39"/>
      <c r="N51" s="40"/>
      <c r="O51" s="40"/>
      <c r="P51" s="40"/>
      <c r="Q51" s="40"/>
      <c r="R51" s="40"/>
      <c r="S51" s="40"/>
      <c r="T51" s="11"/>
      <c r="U51" s="4"/>
      <c r="V51" s="4"/>
      <c r="W51" s="4"/>
      <c r="X51" s="4"/>
      <c r="Y51" s="165"/>
      <c r="Z51" s="135" t="s">
        <v>200</v>
      </c>
      <c r="AB51" s="131" t="s">
        <v>148</v>
      </c>
      <c r="AC51" s="4"/>
      <c r="AD51" s="4"/>
      <c r="AE51" s="4"/>
      <c r="AF51" s="4"/>
      <c r="AG51" s="4"/>
      <c r="AI51" s="4"/>
      <c r="AJ51" s="171" t="b">
        <v>1</v>
      </c>
      <c r="AK51" s="167"/>
      <c r="AS51" s="4"/>
      <c r="AT51" s="106"/>
    </row>
    <row r="52" spans="2:46" ht="8.25" customHeight="1" thickBot="1" x14ac:dyDescent="0.3">
      <c r="B52" s="107"/>
      <c r="C52" s="4"/>
      <c r="D52" s="4"/>
      <c r="E52" s="4"/>
      <c r="F52" s="4"/>
      <c r="G52" s="4"/>
      <c r="H52" s="4"/>
      <c r="I52" s="4"/>
      <c r="J52" s="4"/>
      <c r="K52" s="4"/>
      <c r="L52" s="4"/>
      <c r="M52" s="31"/>
      <c r="N52" s="31"/>
      <c r="O52" s="31"/>
      <c r="P52" s="31"/>
      <c r="Q52" s="31"/>
      <c r="R52" s="31"/>
      <c r="S52" s="31"/>
      <c r="T52" s="4"/>
      <c r="U52" s="4"/>
      <c r="V52" s="4"/>
      <c r="W52" s="4"/>
      <c r="X52" s="4"/>
      <c r="Y52" s="168"/>
      <c r="Z52" s="169"/>
      <c r="AA52" s="169"/>
      <c r="AB52" s="169"/>
      <c r="AC52" s="169"/>
      <c r="AD52" s="169"/>
      <c r="AE52" s="169"/>
      <c r="AF52" s="169"/>
      <c r="AG52" s="169"/>
      <c r="AH52" s="169"/>
      <c r="AI52" s="169"/>
      <c r="AJ52" s="169"/>
      <c r="AK52" s="170"/>
      <c r="AS52" s="4"/>
      <c r="AT52" s="106"/>
    </row>
    <row r="53" spans="2:46" ht="6.75" customHeight="1" x14ac:dyDescent="0.25">
      <c r="B53" s="107"/>
      <c r="C53" s="4"/>
      <c r="D53" s="4"/>
      <c r="E53" s="4"/>
      <c r="F53" s="4"/>
      <c r="G53" s="4"/>
      <c r="H53" s="4"/>
      <c r="I53" s="4"/>
      <c r="J53" s="4"/>
      <c r="K53" s="4"/>
      <c r="L53" s="4"/>
      <c r="M53" s="31"/>
      <c r="N53" s="31"/>
      <c r="O53" s="31"/>
      <c r="P53" s="31"/>
      <c r="Q53" s="31"/>
      <c r="R53" s="31"/>
      <c r="S53" s="31"/>
      <c r="T53" s="4"/>
      <c r="U53" s="4"/>
      <c r="V53" s="4"/>
      <c r="W53" s="4"/>
      <c r="X53" s="4"/>
      <c r="Y53" s="4"/>
      <c r="Z53" s="4"/>
      <c r="AA53" s="135"/>
      <c r="AB53" s="4"/>
      <c r="AC53" s="4"/>
      <c r="AD53" s="4"/>
      <c r="AE53" s="4"/>
      <c r="AF53" s="4"/>
      <c r="AG53" s="4"/>
      <c r="AH53" s="123"/>
      <c r="AI53" s="4"/>
      <c r="AJ53" s="174"/>
      <c r="AK53" s="4"/>
      <c r="AS53" s="4"/>
      <c r="AT53" s="106"/>
    </row>
    <row r="54" spans="2:46" ht="9.75" customHeight="1" thickBot="1" x14ac:dyDescent="0.25">
      <c r="B54" s="108"/>
      <c r="C54" s="109"/>
      <c r="D54" s="109"/>
      <c r="E54" s="109"/>
      <c r="F54" s="109"/>
      <c r="G54" s="109"/>
      <c r="H54" s="109"/>
      <c r="I54" s="109"/>
      <c r="J54" s="109"/>
      <c r="K54" s="109"/>
      <c r="L54" s="109"/>
      <c r="M54" s="109"/>
      <c r="N54" s="109"/>
      <c r="O54" s="109"/>
      <c r="P54" s="109"/>
      <c r="Q54" s="109"/>
      <c r="R54" s="109"/>
      <c r="S54" s="109"/>
      <c r="T54" s="109"/>
      <c r="U54" s="109"/>
      <c r="V54" s="109"/>
      <c r="W54" s="109"/>
      <c r="X54" s="109"/>
      <c r="Y54" s="109"/>
      <c r="Z54" s="109"/>
      <c r="AA54" s="109"/>
      <c r="AB54" s="109"/>
      <c r="AC54" s="109"/>
      <c r="AD54" s="109"/>
      <c r="AE54" s="109"/>
      <c r="AF54" s="109"/>
      <c r="AG54" s="109"/>
      <c r="AH54" s="109"/>
      <c r="AI54" s="109"/>
      <c r="AJ54" s="109"/>
      <c r="AK54" s="109"/>
      <c r="AL54" s="109"/>
      <c r="AM54" s="109"/>
      <c r="AN54" s="109"/>
      <c r="AO54" s="109"/>
      <c r="AP54" s="109"/>
      <c r="AQ54" s="109"/>
      <c r="AR54" s="109"/>
      <c r="AS54" s="109"/>
      <c r="AT54" s="110"/>
    </row>
    <row r="55" spans="2:46" ht="15" customHeight="1" thickTop="1" x14ac:dyDescent="0.2"/>
    <row r="56" spans="2:46" ht="15" customHeight="1" x14ac:dyDescent="0.2"/>
    <row r="57" spans="2:46" ht="15" customHeight="1" x14ac:dyDescent="0.2">
      <c r="Q57" s="154"/>
    </row>
    <row r="58" spans="2:46" ht="15" customHeight="1" x14ac:dyDescent="0.2"/>
    <row r="59" spans="2:46" ht="15" customHeight="1" x14ac:dyDescent="0.2"/>
    <row r="60" spans="2:46" ht="15" customHeight="1" x14ac:dyDescent="0.2"/>
    <row r="61" spans="2:46" ht="15" customHeight="1" x14ac:dyDescent="0.2"/>
  </sheetData>
  <dataConsolidate/>
  <mergeCells count="25">
    <mergeCell ref="X4:AQ6"/>
    <mergeCell ref="Y42:AC43"/>
    <mergeCell ref="X38:AQ40"/>
    <mergeCell ref="E28:E29"/>
    <mergeCell ref="X33:AQ35"/>
    <mergeCell ref="B2:S6"/>
    <mergeCell ref="M18:T18"/>
    <mergeCell ref="X13:AA14"/>
    <mergeCell ref="E11:Q13"/>
    <mergeCell ref="AE18:AM18"/>
    <mergeCell ref="V18:AC18"/>
    <mergeCell ref="W11:AQ11"/>
    <mergeCell ref="AB13:AP14"/>
    <mergeCell ref="D18:K18"/>
    <mergeCell ref="G38:G39"/>
    <mergeCell ref="P20:S20"/>
    <mergeCell ref="P22:S22"/>
    <mergeCell ref="P24:S24"/>
    <mergeCell ref="H38:H39"/>
    <mergeCell ref="E33:S35"/>
    <mergeCell ref="D38:E40"/>
    <mergeCell ref="J38:J39"/>
    <mergeCell ref="N26:S26"/>
    <mergeCell ref="N27:S28"/>
    <mergeCell ref="M38:Q39"/>
  </mergeCells>
  <conditionalFormatting sqref="S46">
    <cfRule type="cellIs" dxfId="66" priority="7" operator="equal">
      <formula>""</formula>
    </cfRule>
    <cfRule type="cellIs" dxfId="65" priority="8" operator="lessThan">
      <formula>TargetMaxVdSizeInTiB</formula>
    </cfRule>
    <cfRule type="cellIs" dxfId="64" priority="9" operator="greaterThan">
      <formula>TargetMaxVdSizeInTiB</formula>
    </cfRule>
  </conditionalFormatting>
  <conditionalFormatting sqref="S41">
    <cfRule type="expression" dxfId="63" priority="5">
      <formula>IF(MOD(S41,1)=0,TRUE,FALSE)</formula>
    </cfRule>
    <cfRule type="expression" dxfId="62" priority="6">
      <formula>IF(MOD(S41,1)&lt;&gt;0,TRUE,FALSE)</formula>
    </cfRule>
  </conditionalFormatting>
  <conditionalFormatting sqref="S42">
    <cfRule type="expression" dxfId="61" priority="1">
      <formula>IF(MOD(S42,1)=0,TRUE,FALSE)</formula>
    </cfRule>
    <cfRule type="expression" dxfId="60" priority="2">
      <formula>IF(MOD(S42,1)&lt;&gt;0,TRUE,FALSE)</formula>
    </cfRule>
  </conditionalFormatting>
  <dataValidations count="9">
    <dataValidation type="list" allowBlank="1" showInputMessage="1" showErrorMessage="1" sqref="AB13">
      <formula1>INDIRECT("ConfigurationTable[Configuration]")</formula1>
    </dataValidation>
    <dataValidation type="list" allowBlank="1" showInputMessage="1" showErrorMessage="1" sqref="AB21">
      <formula1>INDIRECT("YesNoTable[YesNo]")</formula1>
    </dataValidation>
    <dataValidation type="list" allowBlank="1" showInputMessage="1" showErrorMessage="1" sqref="AL20">
      <formula1>INDIRECT("JbodDetailsTable[SlotCount]")</formula1>
    </dataValidation>
    <dataValidation type="list" allowBlank="1" showInputMessage="1" showErrorMessage="1" sqref="AB20">
      <formula1>INDIRECT("SofsNodeCountTable[Sofs Node Count]")</formula1>
    </dataValidation>
    <dataValidation type="list" allowBlank="1" showInputMessage="1" showErrorMessage="1" sqref="AL23">
      <formula1>INDIRECT("HddTable[HDD Size (TB)]")</formula1>
    </dataValidation>
    <dataValidation type="list" allowBlank="1" showInputMessage="1" showErrorMessage="1" sqref="AL24">
      <formula1>INDIRECT("SsdTable[SSD Size (GB)]")</formula1>
    </dataValidation>
    <dataValidation type="list" allowBlank="1" showInputMessage="1" showErrorMessage="1" sqref="AL21">
      <formula1>INDIRECT("YesNoTable[YesNo]")</formula1>
    </dataValidation>
    <dataValidation type="list" allowBlank="1" showInputMessage="1" showErrorMessage="1" sqref="AB28">
      <formula1>INDIRECT("YesNoTable[YesNo]")</formula1>
    </dataValidation>
    <dataValidation type="list" allowBlank="1" showInputMessage="1" showErrorMessage="1" sqref="AB27">
      <formula1>INDIRECT("SupportedResiliancyTypesTable[SupportedResiliancyTypes]")</formula1>
    </dataValidation>
  </dataValidations>
  <hyperlinks>
    <hyperlink ref="AJ45" r:id="rId1"/>
    <hyperlink ref="AJ49" r:id="rId2"/>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49" r:id="rId6" name="Button 25">
              <controlPr defaultSize="0" print="0" autoFill="0" autoPict="0" macro="[0]!MacroClear">
                <anchor moveWithCells="1" sizeWithCells="1">
                  <from>
                    <xdr:col>22</xdr:col>
                    <xdr:colOff>57150</xdr:colOff>
                    <xdr:row>12</xdr:row>
                    <xdr:rowOff>9525</xdr:rowOff>
                  </from>
                  <to>
                    <xdr:col>22</xdr:col>
                    <xdr:colOff>676275</xdr:colOff>
                    <xdr:row>13</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14:formula1>
            <xm:f>SupportingTables!$B$9:$B$9</xm:f>
          </x14:formula1>
          <xm:sqref>J20</xm:sqref>
        </x14:dataValidation>
        <x14:dataValidation type="list" allowBlank="1" showInputMessage="1" showErrorMessage="1">
          <x14:formula1>
            <xm:f>SupportingTables!$B$26:$B$26</xm:f>
          </x14:formula1>
          <xm:sqref>P20</xm:sqref>
        </x14:dataValidation>
        <x14:dataValidation type="list" allowBlank="1" showInputMessage="1" showErrorMessage="1">
          <x14:formula1>
            <xm:f>SupportingTables!$B$30:$B$30</xm:f>
          </x14:formula1>
          <xm:sqref>P22</xm:sqref>
        </x14:dataValidation>
        <x14:dataValidation type="whole" allowBlank="1" showInputMessage="1" showErrorMessage="1">
          <x14:formula1>
            <xm:f>Calculations!J12</xm:f>
          </x14:formula1>
          <x14:formula2>
            <xm:f>Calculations!K12</xm:f>
          </x14:formula2>
          <xm:sqref>AB23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2:R49"/>
  <sheetViews>
    <sheetView showGridLines="0" showRowColHeaders="0" workbookViewId="0">
      <selection activeCell="B2" sqref="B2:D2"/>
    </sheetView>
  </sheetViews>
  <sheetFormatPr defaultColWidth="9.140625" defaultRowHeight="12.75" x14ac:dyDescent="0.2"/>
  <cols>
    <col min="1" max="1" width="2.28515625" style="2" customWidth="1"/>
    <col min="2" max="2" width="9.140625" style="2"/>
    <col min="3" max="3" width="20.140625" style="2" customWidth="1"/>
    <col min="4" max="4" width="9.42578125" style="2" customWidth="1"/>
    <col min="5" max="5" width="2.28515625" style="2" customWidth="1"/>
    <col min="6" max="6" width="11.140625" style="2" customWidth="1"/>
    <col min="7" max="7" width="27.85546875" style="2" bestFit="1" customWidth="1"/>
    <col min="8" max="8" width="8.85546875" style="2" customWidth="1"/>
    <col min="9" max="11" width="9.140625" style="2"/>
    <col min="12" max="12" width="2.42578125" style="2" customWidth="1"/>
    <col min="13" max="13" width="11.28515625" style="2" customWidth="1"/>
    <col min="14" max="14" width="26" style="2" bestFit="1" customWidth="1"/>
    <col min="15" max="16384" width="9.140625" style="2"/>
  </cols>
  <sheetData>
    <row r="2" spans="2:18" ht="23.25" x14ac:dyDescent="0.35">
      <c r="B2" s="263" t="s">
        <v>34</v>
      </c>
      <c r="C2" s="263"/>
      <c r="D2" s="263"/>
      <c r="F2" s="263" t="s">
        <v>128</v>
      </c>
      <c r="G2" s="263"/>
      <c r="H2" s="263"/>
      <c r="I2" s="263"/>
      <c r="J2" s="263"/>
      <c r="K2" s="263"/>
      <c r="M2" s="263" t="s">
        <v>150</v>
      </c>
      <c r="N2" s="263"/>
      <c r="O2" s="263"/>
      <c r="P2" s="263"/>
      <c r="Q2" s="263"/>
      <c r="R2" s="263"/>
    </row>
    <row r="4" spans="2:18" ht="15" customHeight="1" x14ac:dyDescent="0.2">
      <c r="B4" s="264" t="s">
        <v>4</v>
      </c>
      <c r="C4" s="264" t="s">
        <v>55</v>
      </c>
      <c r="D4" s="264" t="s">
        <v>54</v>
      </c>
      <c r="F4" s="264" t="s">
        <v>4</v>
      </c>
      <c r="G4" s="264" t="s">
        <v>55</v>
      </c>
      <c r="H4" s="264" t="s">
        <v>54</v>
      </c>
      <c r="I4" s="266" t="s">
        <v>123</v>
      </c>
      <c r="J4" s="267"/>
      <c r="K4" s="268"/>
      <c r="M4" s="264" t="s">
        <v>4</v>
      </c>
      <c r="N4" s="264" t="s">
        <v>55</v>
      </c>
      <c r="O4" s="264" t="s">
        <v>54</v>
      </c>
      <c r="P4" s="266" t="s">
        <v>123</v>
      </c>
      <c r="Q4" s="267"/>
      <c r="R4" s="268"/>
    </row>
    <row r="5" spans="2:18" x14ac:dyDescent="0.2">
      <c r="B5" s="269"/>
      <c r="C5" s="269"/>
      <c r="D5" s="269"/>
      <c r="F5" s="269"/>
      <c r="G5" s="269"/>
      <c r="H5" s="269"/>
      <c r="I5" s="58" t="s">
        <v>120</v>
      </c>
      <c r="J5" s="57" t="s">
        <v>121</v>
      </c>
      <c r="K5" s="57" t="s">
        <v>122</v>
      </c>
      <c r="M5" s="265"/>
      <c r="N5" s="265"/>
      <c r="O5" s="265"/>
      <c r="P5" s="172" t="s">
        <v>120</v>
      </c>
      <c r="Q5" s="172" t="s">
        <v>121</v>
      </c>
      <c r="R5" s="172" t="s">
        <v>122</v>
      </c>
    </row>
    <row r="6" spans="2:18" x14ac:dyDescent="0.2">
      <c r="B6" s="207" t="s">
        <v>58</v>
      </c>
      <c r="C6" s="210" t="s">
        <v>35</v>
      </c>
      <c r="D6" s="213">
        <f>ROUNDUP(((DesignSizeInTb)*(VLOOKUP(StorageLayout,ResiliencyTable[],4,FALSE)))*(1+VLOOKUP(SpacesModel,SpacesModelTable[],3,FALSE))/HddSizeInTB,0)</f>
        <v>7</v>
      </c>
      <c r="F6" s="172" t="s">
        <v>169</v>
      </c>
      <c r="G6" s="61" t="s">
        <v>181</v>
      </c>
      <c r="H6" s="42">
        <f>DraftHddCount*HddBackupPercentage</f>
        <v>0</v>
      </c>
      <c r="I6" s="69" t="s">
        <v>89</v>
      </c>
      <c r="J6" s="70" t="s">
        <v>89</v>
      </c>
      <c r="K6" s="71" t="s">
        <v>89</v>
      </c>
      <c r="M6" s="172" t="s">
        <v>129</v>
      </c>
      <c r="N6" s="177" t="s">
        <v>124</v>
      </c>
      <c r="O6" s="176" t="s">
        <v>47</v>
      </c>
      <c r="P6" s="178" t="s">
        <v>89</v>
      </c>
      <c r="Q6" s="92" t="s">
        <v>89</v>
      </c>
      <c r="R6" s="93" t="s">
        <v>89</v>
      </c>
    </row>
    <row r="7" spans="2:18" x14ac:dyDescent="0.2">
      <c r="B7" s="208"/>
      <c r="C7" s="77" t="s">
        <v>36</v>
      </c>
      <c r="D7" s="78">
        <f>ROUNDUP((WorkloadBaselineIops*(VLOOKUP(Workload,WorkloadTable[],5,FALSE))*VLOOKUP(StorageLayout,ResiliencyTable[],6,FALSE)+(WorkloadBaselineIops*(1-(VLOOKUP(Workload,WorkloadTable[],5,FALSE)))))/VLOOKUP(Workload,WorkloadTable[],8,FALSE),0)</f>
        <v>11</v>
      </c>
      <c r="F7" s="43"/>
      <c r="G7" s="77" t="s">
        <v>182</v>
      </c>
      <c r="H7" s="78">
        <f>DraftSsdCount*SsdBackupPercentage</f>
        <v>0</v>
      </c>
      <c r="I7" s="79" t="s">
        <v>89</v>
      </c>
      <c r="J7" s="80" t="s">
        <v>89</v>
      </c>
      <c r="K7" s="81" t="s">
        <v>89</v>
      </c>
      <c r="M7" s="45"/>
      <c r="N7" s="43" t="s">
        <v>125</v>
      </c>
      <c r="O7" s="67">
        <v>3</v>
      </c>
      <c r="P7" s="72" t="s">
        <v>89</v>
      </c>
      <c r="Q7" s="60" t="s">
        <v>89</v>
      </c>
      <c r="R7" s="73" t="s">
        <v>89</v>
      </c>
    </row>
    <row r="8" spans="2:18" x14ac:dyDescent="0.2">
      <c r="B8" s="208"/>
      <c r="C8" s="208" t="s">
        <v>285</v>
      </c>
      <c r="D8" s="140">
        <f>VLOOKUP(StorageLayout,ResiliencyTable[],4,FALSE)*WorkloadPoolCount</f>
        <v>2</v>
      </c>
      <c r="F8" s="43"/>
      <c r="G8" s="43" t="s">
        <v>136</v>
      </c>
      <c r="H8" s="45">
        <f>ROUNDUP(H6,0)</f>
        <v>0</v>
      </c>
      <c r="I8" s="72" t="s">
        <v>89</v>
      </c>
      <c r="J8" s="60" t="s">
        <v>89</v>
      </c>
      <c r="K8" s="73" t="s">
        <v>89</v>
      </c>
      <c r="M8" s="45"/>
      <c r="N8" s="77" t="s">
        <v>126</v>
      </c>
      <c r="O8" s="67">
        <v>4</v>
      </c>
      <c r="P8" s="79" t="s">
        <v>89</v>
      </c>
      <c r="Q8" s="80" t="s">
        <v>89</v>
      </c>
      <c r="R8" s="81" t="s">
        <v>89</v>
      </c>
    </row>
    <row r="9" spans="2:18" x14ac:dyDescent="0.2">
      <c r="B9" s="209"/>
      <c r="C9" s="211" t="s">
        <v>61</v>
      </c>
      <c r="D9" s="212">
        <f>MAX(D6:D8)</f>
        <v>11</v>
      </c>
      <c r="F9" s="43"/>
      <c r="G9" s="77" t="s">
        <v>137</v>
      </c>
      <c r="H9" s="78">
        <f>ROUNDUP(H7,0)</f>
        <v>0</v>
      </c>
      <c r="I9" s="79" t="s">
        <v>89</v>
      </c>
      <c r="J9" s="80" t="s">
        <v>89</v>
      </c>
      <c r="K9" s="81" t="s">
        <v>89</v>
      </c>
      <c r="M9" s="45"/>
      <c r="N9" s="43" t="s">
        <v>105</v>
      </c>
      <c r="O9" s="67">
        <v>0</v>
      </c>
      <c r="P9" s="72" t="s">
        <v>89</v>
      </c>
      <c r="Q9" s="60" t="s">
        <v>89</v>
      </c>
      <c r="R9" s="73" t="s">
        <v>89</v>
      </c>
    </row>
    <row r="10" spans="2:18" x14ac:dyDescent="0.2">
      <c r="B10" s="207" t="s">
        <v>57</v>
      </c>
      <c r="C10" s="210" t="s">
        <v>35</v>
      </c>
      <c r="D10" s="213">
        <f>ROUNDUP(((WorkloadWorkingIoSetSizeInGB*(1+WorkloadExpansionPercentage))*(VLOOKUP(StorageLayout,ResiliencyTable[],4,FALSE)))*(1+VLOOKUP(SpacesModel,SpacesModelTable[],3,FALSE))/SsdSizeInGB,0)</f>
        <v>2</v>
      </c>
      <c r="F10" s="43"/>
      <c r="G10" s="43" t="s">
        <v>80</v>
      </c>
      <c r="H10" s="45">
        <f>ROUNDUP((DraftHddCount-HddsReservedForBackup+DraftSsdCount-SsdsReservedForBackup)/MaxNumberOfDisksInPool,0)</f>
        <v>1</v>
      </c>
      <c r="I10" s="72" t="s">
        <v>89</v>
      </c>
      <c r="J10" s="60" t="s">
        <v>89</v>
      </c>
      <c r="K10" s="73" t="s">
        <v>89</v>
      </c>
      <c r="M10" s="45"/>
      <c r="N10" s="77" t="s">
        <v>263</v>
      </c>
      <c r="O10" s="78">
        <f>O7*O8</f>
        <v>12</v>
      </c>
      <c r="P10" s="79" t="s">
        <v>89</v>
      </c>
      <c r="Q10" s="80" t="s">
        <v>89</v>
      </c>
      <c r="R10" s="81" t="s">
        <v>89</v>
      </c>
    </row>
    <row r="11" spans="2:18" x14ac:dyDescent="0.2">
      <c r="B11" s="208"/>
      <c r="C11" s="77" t="s">
        <v>36</v>
      </c>
      <c r="D11" s="78">
        <f>ROUNDUP((WorkloadPeakIops*(VLOOKUP(Workload,WorkloadTable[],5,FALSE))*VLOOKUP(StorageLayout,ResiliencyTable[],6,FALSE)+(WorkloadPeakIops*(1-(VLOOKUP(Workload,WorkloadTable[],5,FALSE)))))/VLOOKUP(Workload,WorkloadTable[],9,FALSE),0)</f>
        <v>2</v>
      </c>
      <c r="F11" s="43"/>
      <c r="G11" s="77" t="s">
        <v>61</v>
      </c>
      <c r="H11" s="78">
        <f>InitialJbodCount</f>
        <v>2</v>
      </c>
      <c r="I11" s="79" t="s">
        <v>89</v>
      </c>
      <c r="J11" s="80" t="s">
        <v>89</v>
      </c>
      <c r="K11" s="81" t="s">
        <v>89</v>
      </c>
      <c r="M11" s="44"/>
      <c r="N11" s="44" t="s">
        <v>264</v>
      </c>
      <c r="O11" s="46">
        <f>O7*O9</f>
        <v>0</v>
      </c>
      <c r="P11" s="179" t="s">
        <v>89</v>
      </c>
      <c r="Q11" s="76" t="s">
        <v>89</v>
      </c>
      <c r="R11" s="59" t="s">
        <v>89</v>
      </c>
    </row>
    <row r="12" spans="2:18" x14ac:dyDescent="0.2">
      <c r="B12" s="208"/>
      <c r="C12" s="208" t="s">
        <v>77</v>
      </c>
      <c r="D12" s="140">
        <f>ROUNDUP(InitialHddCount*SsdHddRatio,0)</f>
        <v>3</v>
      </c>
      <c r="F12" s="43"/>
      <c r="G12" s="43" t="s">
        <v>84</v>
      </c>
      <c r="H12" s="139">
        <f>WorkloadPoolCount</f>
        <v>1</v>
      </c>
      <c r="I12" s="72" t="s">
        <v>89</v>
      </c>
      <c r="J12" s="60">
        <f>PoolCountMin</f>
        <v>1</v>
      </c>
      <c r="K12" s="73">
        <f>PoolCountMax</f>
        <v>2</v>
      </c>
      <c r="M12" s="172" t="s">
        <v>1</v>
      </c>
      <c r="N12" s="102" t="s">
        <v>124</v>
      </c>
      <c r="O12" s="78" t="str">
        <f>VLOOKUP(StorageLayout,ResiliencyTable[],2,FALSE)</f>
        <v>Mirror</v>
      </c>
      <c r="P12" s="89" t="s">
        <v>47</v>
      </c>
      <c r="Q12" s="80" t="s">
        <v>89</v>
      </c>
      <c r="R12" s="81" t="s">
        <v>89</v>
      </c>
    </row>
    <row r="13" spans="2:18" x14ac:dyDescent="0.2">
      <c r="B13" s="208"/>
      <c r="C13" s="77" t="s">
        <v>285</v>
      </c>
      <c r="D13" s="78">
        <f>VLOOKUP(StorageLayout,ResiliencyTable[],4,FALSE)*WorkloadPoolCount</f>
        <v>2</v>
      </c>
      <c r="F13" s="43"/>
      <c r="G13" s="77" t="s">
        <v>92</v>
      </c>
      <c r="H13" s="45">
        <f>ROUNDUP((DraftHddCount-HddsReservedForBackup)/WorkloadPoolCount,0)</f>
        <v>18</v>
      </c>
      <c r="I13" s="79" t="s">
        <v>89</v>
      </c>
      <c r="J13" s="80" t="s">
        <v>89</v>
      </c>
      <c r="K13" s="81" t="s">
        <v>89</v>
      </c>
      <c r="M13" s="43"/>
      <c r="N13" s="111" t="s">
        <v>125</v>
      </c>
      <c r="O13" s="139">
        <f>VLOOKUP(StorageLayout,ResiliencyTable[],4,FALSE)</f>
        <v>2</v>
      </c>
      <c r="P13" s="72" t="s">
        <v>89</v>
      </c>
      <c r="Q13" s="125">
        <v>2</v>
      </c>
      <c r="R13" s="91">
        <v>3</v>
      </c>
    </row>
    <row r="14" spans="2:18" x14ac:dyDescent="0.2">
      <c r="B14" s="208"/>
      <c r="C14" s="208" t="s">
        <v>61</v>
      </c>
      <c r="D14" s="140">
        <f>MAX(D10:D13)</f>
        <v>3</v>
      </c>
      <c r="F14" s="43"/>
      <c r="G14" s="43" t="s">
        <v>93</v>
      </c>
      <c r="H14" s="45">
        <f>ROUNDDOWN((DraftSsdCount-SsdsReservedForBackup)/WorkloadPoolCount,0)</f>
        <v>6</v>
      </c>
      <c r="I14" s="72" t="s">
        <v>89</v>
      </c>
      <c r="J14" s="60" t="s">
        <v>89</v>
      </c>
      <c r="K14" s="73" t="s">
        <v>89</v>
      </c>
      <c r="M14" s="43"/>
      <c r="N14" s="111" t="s">
        <v>165</v>
      </c>
      <c r="O14" s="139">
        <v>1</v>
      </c>
      <c r="P14" s="79" t="s">
        <v>89</v>
      </c>
      <c r="Q14" s="94">
        <v>1</v>
      </c>
      <c r="R14" s="95">
        <v>1</v>
      </c>
    </row>
    <row r="15" spans="2:18" x14ac:dyDescent="0.2">
      <c r="B15" s="207" t="s">
        <v>33</v>
      </c>
      <c r="C15" s="177" t="s">
        <v>283</v>
      </c>
      <c r="D15" s="90">
        <f>JbodSlotCount</f>
        <v>12</v>
      </c>
      <c r="F15" s="43"/>
      <c r="G15" s="77" t="s">
        <v>94</v>
      </c>
      <c r="H15" s="63">
        <f>SUM(H13:H14)</f>
        <v>24</v>
      </c>
      <c r="I15" s="79" t="s">
        <v>89</v>
      </c>
      <c r="J15" s="80">
        <f>VLOOKUP(StorageLayout,ResiliencyTable[],9,FALSE)</f>
        <v>2</v>
      </c>
      <c r="K15" s="81">
        <v>84</v>
      </c>
      <c r="M15" s="43"/>
      <c r="N15" s="102" t="s">
        <v>133</v>
      </c>
      <c r="O15" s="144">
        <f>((_xlfn.FLOOR.MATH(((H35-(O10/1024))*(1-VLOOKUP(StorageLayout,ResiliencyTable[],5,FALSE))/(SofsCount*VirtualDisksPerSofs))*1024)/(ColumnCount*SlabSizeInGiB))*(ColumnCount*SlabSizeInGiB))/1024</f>
        <v>3.8623046875</v>
      </c>
      <c r="P15" s="141" t="s">
        <v>89</v>
      </c>
      <c r="Q15" s="142" t="s">
        <v>89</v>
      </c>
      <c r="R15" s="143" t="s">
        <v>89</v>
      </c>
    </row>
    <row r="16" spans="2:18" x14ac:dyDescent="0.2">
      <c r="B16" s="208"/>
      <c r="C16" s="208" t="s">
        <v>284</v>
      </c>
      <c r="D16" s="140">
        <f>SUM(InitialHddCount+InitialSsdCount)</f>
        <v>14</v>
      </c>
      <c r="F16" s="43"/>
      <c r="G16" s="62" t="s">
        <v>82</v>
      </c>
      <c r="H16" s="215">
        <f>H13/JbodCount</f>
        <v>9</v>
      </c>
      <c r="I16" s="72" t="s">
        <v>89</v>
      </c>
      <c r="J16" s="60" t="s">
        <v>89</v>
      </c>
      <c r="K16" s="73" t="s">
        <v>89</v>
      </c>
      <c r="M16" s="43"/>
      <c r="N16" s="111" t="s">
        <v>132</v>
      </c>
      <c r="O16" s="85">
        <f>(_xlfn.FLOOR.MATH((((H36-(O9*O7/1024)-WbcSizeInGiB/1024)*(1-VLOOKUP(StorageLayout,ResiliencyTable[],5,FALSE))/(SofsCount*VirtualDisksPerSofs))*1024)/(ColumnCount*SlabSizeInGiB))*(ColumnCount*SlabSizeInGiB))/1024</f>
        <v>0.26953125</v>
      </c>
      <c r="P16" s="79" t="s">
        <v>89</v>
      </c>
      <c r="Q16" s="80" t="s">
        <v>89</v>
      </c>
      <c r="R16" s="81" t="s">
        <v>89</v>
      </c>
    </row>
    <row r="17" spans="2:18" x14ac:dyDescent="0.2">
      <c r="B17" s="208"/>
      <c r="C17" s="77" t="s">
        <v>78</v>
      </c>
      <c r="D17" s="78">
        <f>ROUNDUP(InitalJbodSlotsRequired/JbodSlotCount,0)</f>
        <v>2</v>
      </c>
      <c r="F17" s="43"/>
      <c r="G17" s="82" t="s">
        <v>83</v>
      </c>
      <c r="H17" s="215">
        <f>H14/JbodCount</f>
        <v>3</v>
      </c>
      <c r="I17" s="79" t="s">
        <v>89</v>
      </c>
      <c r="J17" s="80" t="s">
        <v>89</v>
      </c>
      <c r="K17" s="81" t="s">
        <v>89</v>
      </c>
      <c r="M17" s="43"/>
      <c r="N17" s="102" t="s">
        <v>134</v>
      </c>
      <c r="O17" s="66">
        <f>SUM(O15:O16)</f>
        <v>4.1318359375</v>
      </c>
      <c r="P17" s="141" t="s">
        <v>89</v>
      </c>
      <c r="Q17" s="142" t="s">
        <v>89</v>
      </c>
      <c r="R17" s="143">
        <v>10</v>
      </c>
    </row>
    <row r="18" spans="2:18" x14ac:dyDescent="0.2">
      <c r="B18" s="208"/>
      <c r="C18" s="208" t="s">
        <v>62</v>
      </c>
      <c r="D18" s="140" t="str">
        <f>IF(EA="Yes",VLOOKUP(StorageLayout,ResiliencyTable[],11,FALSE),"-")</f>
        <v>-</v>
      </c>
      <c r="F18" s="43"/>
      <c r="G18" s="43" t="s">
        <v>95</v>
      </c>
      <c r="H18" s="64">
        <f>H13*HddSizeInTB*TBtoTiB</f>
        <v>65.483618527650833</v>
      </c>
      <c r="I18" s="72" t="s">
        <v>89</v>
      </c>
      <c r="J18" s="60" t="s">
        <v>89</v>
      </c>
      <c r="K18" s="73" t="s">
        <v>89</v>
      </c>
      <c r="M18" s="43"/>
      <c r="N18" s="111" t="s">
        <v>130</v>
      </c>
      <c r="O18" s="85">
        <f>((_xlfn.FLOOR.MATH((H35*(1-VLOOKUP(StorageLayout,ResiliencyTable[],5,FALSE))/(SofsCount*VirtualDisksPerSofs))*1024)/(ColumnCount*SlabSizeInGiB))*(ColumnCount*SlabSizeInGiB))/1024</f>
        <v>3.86328125</v>
      </c>
      <c r="P18" s="79" t="s">
        <v>89</v>
      </c>
      <c r="Q18" s="80" t="s">
        <v>89</v>
      </c>
      <c r="R18" s="81" t="s">
        <v>89</v>
      </c>
    </row>
    <row r="19" spans="2:18" x14ac:dyDescent="0.2">
      <c r="B19" s="208"/>
      <c r="C19" s="77" t="s">
        <v>61</v>
      </c>
      <c r="D19" s="78">
        <f>MAX(D17:D18)</f>
        <v>2</v>
      </c>
      <c r="F19" s="43"/>
      <c r="G19" s="77" t="s">
        <v>96</v>
      </c>
      <c r="H19" s="83">
        <f>H14*SsdSizeInGB*GBtoGiB/1024</f>
        <v>4.3655745685100555</v>
      </c>
      <c r="I19" s="79" t="s">
        <v>89</v>
      </c>
      <c r="J19" s="80" t="s">
        <v>89</v>
      </c>
      <c r="K19" s="81" t="s">
        <v>89</v>
      </c>
      <c r="M19" s="43"/>
      <c r="N19" s="102" t="s">
        <v>131</v>
      </c>
      <c r="O19" s="144">
        <f>(_xlfn.FLOOR.MATH((((H36-WbcSizeInGiB/1024)*(1-VLOOKUP(StorageLayout,ResiliencyTable[],5,FALSE))/(SofsCount*VirtualDisksPerSofs))*1024)/(ColumnCount*SlabSizeInGiB))*(ColumnCount*SlabSizeInGiB))/1024</f>
        <v>0.26953125</v>
      </c>
      <c r="P19" s="141" t="s">
        <v>89</v>
      </c>
      <c r="Q19" s="142" t="s">
        <v>89</v>
      </c>
      <c r="R19" s="143" t="s">
        <v>89</v>
      </c>
    </row>
    <row r="20" spans="2:18" x14ac:dyDescent="0.2">
      <c r="B20" s="208"/>
      <c r="C20" s="43" t="s">
        <v>287</v>
      </c>
      <c r="D20" s="45">
        <f>ROUNDUP(InitialHddCount/(InitialJbodCount*WorkloadPoolCount),0)*(InitialJbodCount*WorkloadPoolCount)-InitialHddCount</f>
        <v>1</v>
      </c>
      <c r="F20" s="43"/>
      <c r="G20" s="43" t="s">
        <v>97</v>
      </c>
      <c r="H20" s="64">
        <f>SUM(H18:H19)</f>
        <v>69.849193096160889</v>
      </c>
      <c r="I20" s="72" t="s">
        <v>89</v>
      </c>
      <c r="J20" s="60" t="s">
        <v>89</v>
      </c>
      <c r="K20" s="73" t="s">
        <v>89</v>
      </c>
      <c r="M20" s="43"/>
      <c r="N20" s="111" t="s">
        <v>135</v>
      </c>
      <c r="O20" s="66">
        <f>SUM(O18:O19)</f>
        <v>4.1328125</v>
      </c>
      <c r="P20" s="79" t="s">
        <v>89</v>
      </c>
      <c r="Q20" s="80" t="s">
        <v>89</v>
      </c>
      <c r="R20" s="81">
        <f>TargetMaxVdSizeInTiB</f>
        <v>10</v>
      </c>
    </row>
    <row r="21" spans="2:18" x14ac:dyDescent="0.2">
      <c r="B21" s="208"/>
      <c r="C21" s="77" t="s">
        <v>286</v>
      </c>
      <c r="D21" s="78">
        <f>ROUNDUP(InitialSsdCount/(InitialJbodCount*WorkloadPoolCount),0)*(InitialJbodCount*WorkloadPoolCount)-InitialSsdCount</f>
        <v>1</v>
      </c>
      <c r="F21" s="43"/>
      <c r="G21" s="77" t="s">
        <v>119</v>
      </c>
      <c r="H21" s="83">
        <f>H20*WorkloadPoolCount</f>
        <v>69.849193096160889</v>
      </c>
      <c r="I21" s="79" t="s">
        <v>89</v>
      </c>
      <c r="J21" s="80" t="s">
        <v>89</v>
      </c>
      <c r="K21" s="81" t="s">
        <v>89</v>
      </c>
      <c r="M21" s="43"/>
      <c r="N21" s="2" t="s">
        <v>88</v>
      </c>
      <c r="O21" s="63">
        <f>IF(O22-ColumnCountReduction&gt;0,O22-ColumnCountReduction,O22)</f>
        <v>3</v>
      </c>
      <c r="P21" s="141" t="s">
        <v>89</v>
      </c>
      <c r="Q21" s="145">
        <v>3</v>
      </c>
      <c r="R21" s="146">
        <v>4</v>
      </c>
    </row>
    <row r="22" spans="2:18" x14ac:dyDescent="0.2">
      <c r="B22" s="208"/>
      <c r="C22" s="43" t="s">
        <v>290</v>
      </c>
      <c r="D22" s="45">
        <f>InitialHddCount+D20</f>
        <v>12</v>
      </c>
      <c r="F22" s="43"/>
      <c r="G22" s="43" t="s">
        <v>117</v>
      </c>
      <c r="H22" s="66">
        <f>IF(EA="Yes",H24,H26)</f>
        <v>3.645791307091713</v>
      </c>
      <c r="I22" s="72" t="s">
        <v>89</v>
      </c>
      <c r="J22" s="60" t="s">
        <v>89</v>
      </c>
      <c r="K22" s="73" t="s">
        <v>89</v>
      </c>
      <c r="M22" s="43"/>
      <c r="N22" s="102" t="s">
        <v>180</v>
      </c>
      <c r="O22" s="148">
        <f>IF(O12="Mirror",IF(EA="Yes",O23,O24),IF(O12="Parity",IF(EA="Yes",O25,O26),0))</f>
        <v>3</v>
      </c>
      <c r="P22" s="79" t="s">
        <v>89</v>
      </c>
      <c r="Q22" s="80" t="s">
        <v>89</v>
      </c>
      <c r="R22" s="81" t="s">
        <v>89</v>
      </c>
    </row>
    <row r="23" spans="2:18" x14ac:dyDescent="0.2">
      <c r="B23" s="43"/>
      <c r="C23" s="77" t="s">
        <v>291</v>
      </c>
      <c r="D23" s="78">
        <f>InitialSsdCount+D21</f>
        <v>4</v>
      </c>
      <c r="F23" s="43"/>
      <c r="G23" s="77" t="s">
        <v>118</v>
      </c>
      <c r="H23" s="85">
        <f>IF(EA="Yes",H25,H27)</f>
        <v>0</v>
      </c>
      <c r="I23" s="79" t="s">
        <v>89</v>
      </c>
      <c r="J23" s="80" t="s">
        <v>89</v>
      </c>
      <c r="K23" s="81" t="s">
        <v>89</v>
      </c>
      <c r="M23" s="43"/>
      <c r="N23" s="111" t="s">
        <v>175</v>
      </c>
      <c r="O23" s="45">
        <f>ROUNDDOWN(((MIN(H13,H14)/JbodCount)),0)</f>
        <v>3</v>
      </c>
      <c r="P23" s="141" t="s">
        <v>89</v>
      </c>
      <c r="Q23" s="142" t="s">
        <v>89</v>
      </c>
      <c r="R23" s="143" t="s">
        <v>89</v>
      </c>
    </row>
    <row r="24" spans="2:18" x14ac:dyDescent="0.2">
      <c r="B24" s="43"/>
      <c r="C24" s="208" t="s">
        <v>76</v>
      </c>
      <c r="D24" s="140">
        <f>InitialJbodCount*JbodSlotCount-(D22+D23)</f>
        <v>8</v>
      </c>
      <c r="F24" s="43"/>
      <c r="G24" s="43" t="s">
        <v>183</v>
      </c>
      <c r="H24" s="66" t="str">
        <f>IF(EA="Yes",(HddRebuildPerPool*(HddSizeInTB*TBtoTiB+FastRebuildOverheadInGiB/1024))*JbodCount/(JbodCount-DataCopies+1),"-")</f>
        <v>-</v>
      </c>
      <c r="I24" s="72" t="s">
        <v>89</v>
      </c>
      <c r="J24" s="60" t="s">
        <v>89</v>
      </c>
      <c r="K24" s="73" t="s">
        <v>89</v>
      </c>
      <c r="M24" s="43"/>
      <c r="N24" s="102" t="s">
        <v>176</v>
      </c>
      <c r="O24" s="78">
        <f>ROUNDDOWN(((MIN(H13,H14)/O13)),0)</f>
        <v>3</v>
      </c>
      <c r="P24" s="79" t="s">
        <v>89</v>
      </c>
      <c r="Q24" s="80" t="s">
        <v>89</v>
      </c>
      <c r="R24" s="81" t="s">
        <v>89</v>
      </c>
    </row>
    <row r="25" spans="2:18" x14ac:dyDescent="0.2">
      <c r="B25" s="43"/>
      <c r="C25" s="77" t="s">
        <v>294</v>
      </c>
      <c r="D25" s="78">
        <f>ROUNDUP((EmptyTotalSlots*(1-SsdHddRatio))/(InitialJbodCount*WorkloadPoolCount),0)*InitialJbodCount*WorkloadPoolCount</f>
        <v>6</v>
      </c>
      <c r="F25" s="43"/>
      <c r="G25" s="77" t="s">
        <v>184</v>
      </c>
      <c r="H25" s="85" t="str">
        <f>IF(EA="Yes",(SsdRebuildPerPool*(SsdSizeInGB*GBtoGiB+FastRebuildOverheadInGiB))*JbodCount/1024/(JbodCount-DataCopies+1),"-")</f>
        <v>-</v>
      </c>
      <c r="I25" s="101"/>
      <c r="J25" s="86"/>
      <c r="K25" s="102"/>
      <c r="M25" s="43"/>
      <c r="N25" s="111" t="s">
        <v>177</v>
      </c>
      <c r="O25" s="45">
        <f>ROUNDDOWN(JbodCount*2-1,0)</f>
        <v>3</v>
      </c>
      <c r="P25" s="141" t="s">
        <v>89</v>
      </c>
      <c r="Q25" s="142" t="s">
        <v>89</v>
      </c>
      <c r="R25" s="143" t="s">
        <v>89</v>
      </c>
    </row>
    <row r="26" spans="2:18" x14ac:dyDescent="0.2">
      <c r="B26" s="43"/>
      <c r="C26" s="208" t="s">
        <v>295</v>
      </c>
      <c r="D26" s="140">
        <f>EmptyTotalSlots-EmptyHddSlots</f>
        <v>2</v>
      </c>
      <c r="F26" s="43"/>
      <c r="G26" s="43" t="s">
        <v>185</v>
      </c>
      <c r="H26" s="64">
        <f>HddRebuildPerPool*(HddSizeInTB*TBtoTiB+FastRebuildOverheadInGiB/1024)</f>
        <v>3.645791307091713</v>
      </c>
      <c r="I26" s="72" t="s">
        <v>89</v>
      </c>
      <c r="J26" s="60" t="s">
        <v>89</v>
      </c>
      <c r="K26" s="73" t="s">
        <v>89</v>
      </c>
      <c r="M26" s="43"/>
      <c r="N26" s="102" t="s">
        <v>178</v>
      </c>
      <c r="O26" s="78">
        <f>ROUNDDOWN(MIN(H15,17),0)</f>
        <v>17</v>
      </c>
      <c r="P26" s="79" t="s">
        <v>89</v>
      </c>
      <c r="Q26" s="80" t="s">
        <v>89</v>
      </c>
      <c r="R26" s="81" t="s">
        <v>89</v>
      </c>
    </row>
    <row r="27" spans="2:18" x14ac:dyDescent="0.2">
      <c r="B27" s="43"/>
      <c r="C27" s="77" t="s">
        <v>288</v>
      </c>
      <c r="D27" s="78">
        <f>SymmetricalHddCount+EmptyHddSlots</f>
        <v>18</v>
      </c>
      <c r="F27" s="43"/>
      <c r="G27" s="77" t="s">
        <v>186</v>
      </c>
      <c r="H27" s="83">
        <f>SsdRebuildPerPool*(SsdSizeInGB*GBtoGiB+FastRebuildOverheadInGiB)/1024</f>
        <v>0</v>
      </c>
      <c r="I27" s="79" t="s">
        <v>89</v>
      </c>
      <c r="J27" s="80" t="s">
        <v>89</v>
      </c>
      <c r="K27" s="81" t="s">
        <v>89</v>
      </c>
      <c r="M27" s="43"/>
      <c r="N27" s="111" t="s">
        <v>161</v>
      </c>
      <c r="O27" s="140">
        <f>MAX(SsdRebuildPerPool,ColumnCountMax-TargetMaxColumnCount)</f>
        <v>0</v>
      </c>
      <c r="P27" s="141" t="s">
        <v>89</v>
      </c>
      <c r="Q27" s="142" t="s">
        <v>89</v>
      </c>
      <c r="R27" s="143" t="s">
        <v>89</v>
      </c>
    </row>
    <row r="28" spans="2:18" x14ac:dyDescent="0.2">
      <c r="B28" s="43"/>
      <c r="C28" s="43" t="s">
        <v>289</v>
      </c>
      <c r="D28" s="45">
        <f>SymmetricalSsdCount+EmptySsdSlots</f>
        <v>6</v>
      </c>
      <c r="F28" s="43"/>
      <c r="G28" s="43" t="s">
        <v>106</v>
      </c>
      <c r="H28" s="98">
        <f>HddReserveCapacity/H18</f>
        <v>5.5674860202666668E-2</v>
      </c>
      <c r="I28" s="72" t="s">
        <v>89</v>
      </c>
      <c r="J28" s="60" t="s">
        <v>89</v>
      </c>
      <c r="K28" s="73" t="s">
        <v>89</v>
      </c>
      <c r="M28" s="43"/>
      <c r="N28" s="111" t="s">
        <v>144</v>
      </c>
      <c r="O28" s="67" t="s">
        <v>145</v>
      </c>
      <c r="P28" s="79" t="s">
        <v>145</v>
      </c>
      <c r="Q28" s="80" t="s">
        <v>89</v>
      </c>
      <c r="R28" s="81" t="s">
        <v>89</v>
      </c>
    </row>
    <row r="29" spans="2:18" x14ac:dyDescent="0.2">
      <c r="B29" s="43"/>
      <c r="C29" s="77" t="s">
        <v>292</v>
      </c>
      <c r="D29" s="78">
        <f>IF(FillEmptySlots="No",SymmetricalHddCount,SymmetricalHddCount+EmptyHddSlots)</f>
        <v>18</v>
      </c>
      <c r="F29" s="43"/>
      <c r="G29" s="77" t="s">
        <v>107</v>
      </c>
      <c r="H29" s="99">
        <f>SsdReserveCapacity/H19</f>
        <v>0</v>
      </c>
      <c r="I29" s="79" t="s">
        <v>89</v>
      </c>
      <c r="J29" s="80" t="s">
        <v>89</v>
      </c>
      <c r="K29" s="81" t="s">
        <v>89</v>
      </c>
      <c r="M29" s="43"/>
      <c r="N29" s="102" t="s">
        <v>140</v>
      </c>
      <c r="O29" s="67" t="s">
        <v>146</v>
      </c>
      <c r="P29" s="141" t="s">
        <v>146</v>
      </c>
      <c r="Q29" s="142" t="s">
        <v>89</v>
      </c>
      <c r="R29" s="143" t="s">
        <v>89</v>
      </c>
    </row>
    <row r="30" spans="2:18" x14ac:dyDescent="0.2">
      <c r="B30" s="44"/>
      <c r="C30" s="44" t="s">
        <v>293</v>
      </c>
      <c r="D30" s="46">
        <f>IF(FillEmptySlots="No",SymmetricalSsdCount,SymmetricalSsdCount+EmptySsdSlots)</f>
        <v>6</v>
      </c>
      <c r="F30" s="43"/>
      <c r="G30" s="43" t="s">
        <v>138</v>
      </c>
      <c r="H30" s="96">
        <f>HddReserveCapacity/(HddSizeInTB*TBtoTiB)</f>
        <v>1.002147483648</v>
      </c>
      <c r="I30" s="72" t="s">
        <v>89</v>
      </c>
      <c r="J30" s="125" t="s">
        <v>89</v>
      </c>
      <c r="K30" s="91" t="s">
        <v>89</v>
      </c>
      <c r="M30" s="43"/>
      <c r="N30" s="111" t="s">
        <v>141</v>
      </c>
      <c r="O30" s="67" t="s">
        <v>147</v>
      </c>
      <c r="P30" s="79" t="s">
        <v>147</v>
      </c>
      <c r="Q30" s="80" t="s">
        <v>89</v>
      </c>
      <c r="R30" s="81" t="s">
        <v>89</v>
      </c>
    </row>
    <row r="31" spans="2:18" x14ac:dyDescent="0.2">
      <c r="F31" s="43"/>
      <c r="G31" s="77" t="s">
        <v>139</v>
      </c>
      <c r="H31" s="97">
        <f>SsdReserveCapacity/(SsdSizeInGB*GBtoGiB/1024)</f>
        <v>0</v>
      </c>
      <c r="I31" s="89" t="s">
        <v>89</v>
      </c>
      <c r="J31" s="94" t="s">
        <v>89</v>
      </c>
      <c r="K31" s="95" t="s">
        <v>89</v>
      </c>
      <c r="M31" s="43"/>
      <c r="N31" s="102" t="s">
        <v>142</v>
      </c>
      <c r="O31" s="67">
        <v>64</v>
      </c>
      <c r="P31" s="141">
        <v>64</v>
      </c>
      <c r="Q31" s="142" t="s">
        <v>89</v>
      </c>
      <c r="R31" s="143" t="s">
        <v>89</v>
      </c>
    </row>
    <row r="32" spans="2:18" x14ac:dyDescent="0.2">
      <c r="F32" s="43"/>
      <c r="G32" s="43" t="s">
        <v>108</v>
      </c>
      <c r="H32" s="64">
        <f>(H18-H13*SpacesMetadataOverheadinGiB/1024)-HddReserveCapacity</f>
        <v>61.82024909555912</v>
      </c>
      <c r="I32" s="72" t="s">
        <v>89</v>
      </c>
      <c r="J32" s="60" t="s">
        <v>89</v>
      </c>
      <c r="K32" s="73" t="s">
        <v>89</v>
      </c>
      <c r="M32" s="43"/>
      <c r="N32" s="111" t="s">
        <v>143</v>
      </c>
      <c r="O32" s="67" t="s">
        <v>145</v>
      </c>
      <c r="P32" s="79" t="s">
        <v>145</v>
      </c>
      <c r="Q32" s="80" t="s">
        <v>89</v>
      </c>
      <c r="R32" s="81" t="s">
        <v>89</v>
      </c>
    </row>
    <row r="33" spans="3:18" x14ac:dyDescent="0.2">
      <c r="C33" s="153"/>
      <c r="F33" s="43"/>
      <c r="G33" s="77" t="s">
        <v>109</v>
      </c>
      <c r="H33" s="83">
        <f>(H19-H14*SpacesMetadataOverheadinGiB/1024)-SsdReserveCapacity</f>
        <v>4.3597151935100555</v>
      </c>
      <c r="I33" s="79" t="s">
        <v>89</v>
      </c>
      <c r="J33" s="80" t="s">
        <v>89</v>
      </c>
      <c r="K33" s="81" t="s">
        <v>89</v>
      </c>
      <c r="M33" s="43"/>
      <c r="N33" s="102" t="s">
        <v>148</v>
      </c>
      <c r="O33" s="67" t="s">
        <v>29</v>
      </c>
      <c r="P33" s="141" t="s">
        <v>29</v>
      </c>
      <c r="Q33" s="142" t="s">
        <v>89</v>
      </c>
      <c r="R33" s="143" t="s">
        <v>89</v>
      </c>
    </row>
    <row r="34" spans="3:18" x14ac:dyDescent="0.2">
      <c r="F34" s="43"/>
      <c r="G34" s="43" t="s">
        <v>110</v>
      </c>
      <c r="H34" s="64">
        <f>SUM(H32:H33)</f>
        <v>66.179964289069176</v>
      </c>
      <c r="I34" s="72" t="s">
        <v>89</v>
      </c>
      <c r="J34" s="60" t="s">
        <v>89</v>
      </c>
      <c r="K34" s="73" t="s">
        <v>89</v>
      </c>
      <c r="M34" s="43"/>
      <c r="N34" s="111" t="s">
        <v>152</v>
      </c>
      <c r="O34" s="67" t="s">
        <v>155</v>
      </c>
      <c r="P34" s="89" t="s">
        <v>155</v>
      </c>
      <c r="Q34" s="80" t="s">
        <v>89</v>
      </c>
      <c r="R34" s="81" t="s">
        <v>89</v>
      </c>
    </row>
    <row r="35" spans="3:18" x14ac:dyDescent="0.2">
      <c r="F35" s="43"/>
      <c r="G35" s="43" t="s">
        <v>187</v>
      </c>
      <c r="H35" s="64">
        <f>H32*WorkloadPoolCount</f>
        <v>61.82024909555912</v>
      </c>
      <c r="I35" s="79" t="s">
        <v>89</v>
      </c>
      <c r="J35" s="80" t="s">
        <v>89</v>
      </c>
      <c r="K35" s="81" t="s">
        <v>89</v>
      </c>
      <c r="M35" s="43"/>
      <c r="N35" s="102" t="s">
        <v>153</v>
      </c>
      <c r="O35" s="67" t="s">
        <v>154</v>
      </c>
      <c r="P35" s="147" t="s">
        <v>154</v>
      </c>
      <c r="Q35" s="142" t="s">
        <v>89</v>
      </c>
      <c r="R35" s="143" t="s">
        <v>89</v>
      </c>
    </row>
    <row r="36" spans="3:18" x14ac:dyDescent="0.2">
      <c r="F36" s="43"/>
      <c r="G36" s="43" t="s">
        <v>188</v>
      </c>
      <c r="H36" s="64">
        <f>H33*WorkloadPoolCount</f>
        <v>4.3597151935100555</v>
      </c>
      <c r="I36" s="72" t="s">
        <v>89</v>
      </c>
      <c r="J36" s="60" t="s">
        <v>89</v>
      </c>
      <c r="K36" s="73" t="s">
        <v>89</v>
      </c>
      <c r="M36" s="43"/>
      <c r="N36" s="127" t="s">
        <v>151</v>
      </c>
      <c r="O36" s="67" t="s">
        <v>145</v>
      </c>
      <c r="P36" s="79" t="s">
        <v>145</v>
      </c>
      <c r="Q36" s="80" t="s">
        <v>89</v>
      </c>
      <c r="R36" s="81" t="s">
        <v>89</v>
      </c>
    </row>
    <row r="37" spans="3:18" x14ac:dyDescent="0.2">
      <c r="F37" s="43"/>
      <c r="G37" s="77" t="s">
        <v>116</v>
      </c>
      <c r="H37" s="83">
        <f>SUM(H35:H36)</f>
        <v>66.179964289069176</v>
      </c>
      <c r="I37" s="79" t="s">
        <v>89</v>
      </c>
      <c r="J37" s="80" t="s">
        <v>89</v>
      </c>
      <c r="K37" s="81" t="s">
        <v>89</v>
      </c>
      <c r="M37" s="43"/>
      <c r="N37" s="102" t="s">
        <v>149</v>
      </c>
      <c r="O37" s="67" t="b">
        <v>0</v>
      </c>
      <c r="P37" s="141" t="b">
        <v>0</v>
      </c>
      <c r="Q37" s="142" t="s">
        <v>89</v>
      </c>
      <c r="R37" s="143" t="s">
        <v>89</v>
      </c>
    </row>
    <row r="38" spans="3:18" x14ac:dyDescent="0.2">
      <c r="F38" s="43"/>
      <c r="G38" s="43" t="s">
        <v>111</v>
      </c>
      <c r="H38" s="65">
        <f>1-H14/H13</f>
        <v>0.66666666666666674</v>
      </c>
      <c r="I38" s="72" t="s">
        <v>89</v>
      </c>
      <c r="J38" s="60" t="s">
        <v>89</v>
      </c>
      <c r="K38" s="73" t="s">
        <v>89</v>
      </c>
      <c r="M38" s="44"/>
      <c r="N38" s="128" t="s">
        <v>189</v>
      </c>
      <c r="O38" s="152" t="b">
        <v>1</v>
      </c>
      <c r="P38" s="149" t="b">
        <v>1</v>
      </c>
      <c r="Q38" s="150" t="s">
        <v>89</v>
      </c>
      <c r="R38" s="151" t="s">
        <v>89</v>
      </c>
    </row>
    <row r="39" spans="3:18" x14ac:dyDescent="0.2">
      <c r="F39" s="43"/>
      <c r="G39" s="77" t="s">
        <v>112</v>
      </c>
      <c r="H39" s="84">
        <f>H14/H13</f>
        <v>0.33333333333333331</v>
      </c>
      <c r="I39" s="79" t="s">
        <v>89</v>
      </c>
      <c r="J39" s="80" t="s">
        <v>89</v>
      </c>
      <c r="K39" s="81" t="s">
        <v>89</v>
      </c>
    </row>
    <row r="40" spans="3:18" x14ac:dyDescent="0.2">
      <c r="F40" s="43"/>
      <c r="G40" s="43" t="s">
        <v>113</v>
      </c>
      <c r="H40" s="65">
        <f>1-H19/H18</f>
        <v>0.93333333333333335</v>
      </c>
      <c r="I40" s="72" t="s">
        <v>89</v>
      </c>
      <c r="J40" s="60" t="s">
        <v>89</v>
      </c>
      <c r="K40" s="73" t="s">
        <v>89</v>
      </c>
    </row>
    <row r="41" spans="3:18" x14ac:dyDescent="0.2">
      <c r="F41" s="43"/>
      <c r="G41" s="77" t="s">
        <v>114</v>
      </c>
      <c r="H41" s="65">
        <f>H19/H18</f>
        <v>6.6666666666666666E-2</v>
      </c>
      <c r="I41" s="79" t="s">
        <v>89</v>
      </c>
      <c r="J41" s="87">
        <v>0.05</v>
      </c>
      <c r="K41" s="88">
        <v>0.1</v>
      </c>
    </row>
    <row r="42" spans="3:18" x14ac:dyDescent="0.2">
      <c r="F42" s="43"/>
      <c r="G42" s="43" t="s">
        <v>99</v>
      </c>
      <c r="H42" s="67" t="s">
        <v>100</v>
      </c>
      <c r="I42" s="74" t="s">
        <v>100</v>
      </c>
      <c r="J42" s="60" t="s">
        <v>89</v>
      </c>
      <c r="K42" s="73" t="s">
        <v>89</v>
      </c>
    </row>
    <row r="43" spans="3:18" x14ac:dyDescent="0.2">
      <c r="F43" s="43"/>
      <c r="G43" s="77" t="s">
        <v>196</v>
      </c>
      <c r="H43" s="67" t="s">
        <v>101</v>
      </c>
      <c r="I43" s="89" t="s">
        <v>101</v>
      </c>
      <c r="J43" s="80" t="s">
        <v>89</v>
      </c>
      <c r="K43" s="81" t="s">
        <v>89</v>
      </c>
    </row>
    <row r="44" spans="3:18" x14ac:dyDescent="0.2">
      <c r="F44" s="44"/>
      <c r="G44" s="44" t="s">
        <v>102</v>
      </c>
      <c r="H44" s="68" t="b">
        <v>0</v>
      </c>
      <c r="I44" s="75" t="b">
        <v>0</v>
      </c>
      <c r="J44" s="76" t="s">
        <v>89</v>
      </c>
      <c r="K44" s="59" t="s">
        <v>89</v>
      </c>
    </row>
    <row r="48" spans="3:18" x14ac:dyDescent="0.2">
      <c r="F48" s="214"/>
    </row>
    <row r="49" spans="6:6" x14ac:dyDescent="0.2">
      <c r="F49" s="214"/>
    </row>
  </sheetData>
  <mergeCells count="14">
    <mergeCell ref="B2:D2"/>
    <mergeCell ref="D4:D5"/>
    <mergeCell ref="C4:C5"/>
    <mergeCell ref="B4:B5"/>
    <mergeCell ref="I4:K4"/>
    <mergeCell ref="F4:F5"/>
    <mergeCell ref="G4:G5"/>
    <mergeCell ref="H4:H5"/>
    <mergeCell ref="M2:R2"/>
    <mergeCell ref="O4:O5"/>
    <mergeCell ref="N4:N5"/>
    <mergeCell ref="M4:M5"/>
    <mergeCell ref="F2:K2"/>
    <mergeCell ref="P4:R4"/>
  </mergeCells>
  <conditionalFormatting sqref="H41">
    <cfRule type="cellIs" dxfId="59" priority="38" operator="greaterThan">
      <formula>K41</formula>
    </cfRule>
    <cfRule type="cellIs" dxfId="58" priority="39" operator="lessThan">
      <formula>J41</formula>
    </cfRule>
    <cfRule type="cellIs" dxfId="57" priority="40" operator="between">
      <formula>J41</formula>
      <formula>K41</formula>
    </cfRule>
  </conditionalFormatting>
  <conditionalFormatting sqref="H15">
    <cfRule type="cellIs" dxfId="56" priority="35" operator="greaterThan">
      <formula>K15</formula>
    </cfRule>
    <cfRule type="cellIs" dxfId="55" priority="36" operator="lessThan">
      <formula>J15</formula>
    </cfRule>
    <cfRule type="cellIs" dxfId="54" priority="37" operator="between">
      <formula>J15</formula>
      <formula>K15</formula>
    </cfRule>
  </conditionalFormatting>
  <conditionalFormatting sqref="O20">
    <cfRule type="cellIs" dxfId="53" priority="33" operator="lessThan">
      <formula>R20</formula>
    </cfRule>
    <cfRule type="cellIs" dxfId="52" priority="34" operator="greaterThan">
      <formula>R20</formula>
    </cfRule>
  </conditionalFormatting>
  <conditionalFormatting sqref="O17">
    <cfRule type="cellIs" dxfId="51" priority="31" operator="lessThan">
      <formula>R17</formula>
    </cfRule>
    <cfRule type="cellIs" dxfId="50" priority="32" operator="greaterThan">
      <formula>R17</formula>
    </cfRule>
  </conditionalFormatting>
  <conditionalFormatting sqref="O14">
    <cfRule type="cellIs" dxfId="49" priority="25" operator="greaterThan">
      <formula>R14</formula>
    </cfRule>
    <cfRule type="cellIs" dxfId="48" priority="26" operator="lessThan">
      <formula>Q14</formula>
    </cfRule>
    <cfRule type="cellIs" dxfId="47" priority="27" operator="between">
      <formula>Q14</formula>
      <formula>R14</formula>
    </cfRule>
  </conditionalFormatting>
  <conditionalFormatting sqref="O13">
    <cfRule type="cellIs" dxfId="46" priority="22" operator="greaterThan">
      <formula>R13</formula>
    </cfRule>
    <cfRule type="cellIs" dxfId="45" priority="23" operator="lessThan">
      <formula>Q13</formula>
    </cfRule>
    <cfRule type="cellIs" dxfId="44" priority="24" operator="between">
      <formula>Q13</formula>
      <formula>R13</formula>
    </cfRule>
  </conditionalFormatting>
  <conditionalFormatting sqref="O21">
    <cfRule type="cellIs" dxfId="43" priority="19" operator="greaterThan">
      <formula>R21</formula>
    </cfRule>
    <cfRule type="cellIs" dxfId="42" priority="20" operator="lessThan">
      <formula>Q21</formula>
    </cfRule>
    <cfRule type="cellIs" dxfId="41" priority="21" operator="between">
      <formula>Q21</formula>
      <formula>R21</formula>
    </cfRule>
  </conditionalFormatting>
  <conditionalFormatting sqref="H12">
    <cfRule type="cellIs" dxfId="40" priority="16" operator="greaterThan">
      <formula>K12</formula>
    </cfRule>
    <cfRule type="cellIs" dxfId="39" priority="17" operator="lessThan">
      <formula>J12</formula>
    </cfRule>
    <cfRule type="cellIs" dxfId="38" priority="18" operator="between">
      <formula>J12</formula>
      <formula>K12</formula>
    </cfRule>
  </conditionalFormatting>
  <conditionalFormatting sqref="H13">
    <cfRule type="expression" dxfId="37" priority="9">
      <formula>IF(MOD(H13,1)=0,TRUE,FALSE)</formula>
    </cfRule>
    <cfRule type="expression" dxfId="36" priority="10">
      <formula>IF(MOD(H13,1)&lt;&gt;0,TRUE,FALSE)</formula>
    </cfRule>
  </conditionalFormatting>
  <conditionalFormatting sqref="H14">
    <cfRule type="expression" dxfId="35" priority="5">
      <formula>IF(MOD(H14,1)=0,TRUE,FALSE)</formula>
    </cfRule>
    <cfRule type="expression" dxfId="34" priority="6">
      <formula>IF(MOD(H14,1)&lt;&gt;0,TRUE,FALSE)</formula>
    </cfRule>
  </conditionalFormatting>
  <conditionalFormatting sqref="H16">
    <cfRule type="expression" dxfId="33" priority="3">
      <formula>IF(MOD(H16,1)=0,TRUE,FALSE)</formula>
    </cfRule>
    <cfRule type="expression" dxfId="32" priority="4">
      <formula>IF(MOD(H16,1)&lt;&gt;0,TRUE,FALSE)</formula>
    </cfRule>
  </conditionalFormatting>
  <conditionalFormatting sqref="H17">
    <cfRule type="expression" dxfId="31" priority="1">
      <formula>IF(MOD(H17,1)=0,TRUE,FALSE)</formula>
    </cfRule>
    <cfRule type="expression" dxfId="30" priority="2">
      <formula>IF(MOD(H17,1)&lt;&gt;0,TRUE,FALSE)</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2:AB64"/>
  <sheetViews>
    <sheetView showGridLines="0" showRowColHeaders="0" zoomScale="70" zoomScaleNormal="70" workbookViewId="0">
      <selection activeCell="B2" sqref="B2"/>
    </sheetView>
  </sheetViews>
  <sheetFormatPr defaultRowHeight="15" x14ac:dyDescent="0.25"/>
  <cols>
    <col min="1" max="1" width="7.140625" customWidth="1"/>
    <col min="2" max="2" width="42.140625" bestFit="1" customWidth="1"/>
    <col min="3" max="3" width="79.42578125" bestFit="1" customWidth="1"/>
    <col min="4" max="4" width="26.28515625" bestFit="1" customWidth="1"/>
    <col min="5" max="5" width="23" bestFit="1" customWidth="1"/>
    <col min="6" max="6" width="21.5703125" bestFit="1" customWidth="1"/>
    <col min="7" max="7" width="30.140625" bestFit="1" customWidth="1"/>
    <col min="8" max="8" width="30.85546875" bestFit="1" customWidth="1"/>
    <col min="9" max="9" width="27" bestFit="1" customWidth="1"/>
    <col min="10" max="10" width="27" customWidth="1"/>
    <col min="11" max="11" width="33.42578125" bestFit="1" customWidth="1"/>
    <col min="12" max="12" width="32.140625" bestFit="1" customWidth="1"/>
    <col min="13" max="13" width="37.140625" bestFit="1" customWidth="1"/>
    <col min="14" max="14" width="11" bestFit="1" customWidth="1"/>
    <col min="15" max="15" width="19.7109375" bestFit="1" customWidth="1"/>
    <col min="16" max="16" width="20" bestFit="1" customWidth="1"/>
    <col min="17" max="17" width="16.28515625" bestFit="1" customWidth="1"/>
    <col min="18" max="18" width="16.85546875" bestFit="1" customWidth="1"/>
    <col min="19" max="19" width="20" bestFit="1" customWidth="1"/>
    <col min="20" max="20" width="21" bestFit="1" customWidth="1"/>
    <col min="21" max="21" width="27.7109375" bestFit="1" customWidth="1"/>
    <col min="22" max="22" width="20.5703125" bestFit="1" customWidth="1"/>
    <col min="23" max="23" width="27.7109375" bestFit="1" customWidth="1"/>
    <col min="24" max="24" width="27.28515625" bestFit="1" customWidth="1"/>
    <col min="25" max="25" width="27.42578125" bestFit="1" customWidth="1"/>
    <col min="26" max="26" width="38.85546875" bestFit="1" customWidth="1"/>
    <col min="27" max="27" width="39.140625" bestFit="1" customWidth="1"/>
    <col min="28" max="28" width="27.28515625" bestFit="1" customWidth="1"/>
  </cols>
  <sheetData>
    <row r="2" spans="2:28" x14ac:dyDescent="0.25">
      <c r="B2" t="s">
        <v>3</v>
      </c>
      <c r="C2" t="s">
        <v>0</v>
      </c>
      <c r="D2" t="s">
        <v>1</v>
      </c>
      <c r="E2" t="s">
        <v>64</v>
      </c>
      <c r="F2" t="s">
        <v>65</v>
      </c>
      <c r="G2" t="s">
        <v>67</v>
      </c>
      <c r="H2" t="s">
        <v>66</v>
      </c>
      <c r="I2" t="s">
        <v>68</v>
      </c>
      <c r="J2" t="s">
        <v>18</v>
      </c>
      <c r="K2" t="s">
        <v>69</v>
      </c>
      <c r="L2" t="s">
        <v>70</v>
      </c>
      <c r="M2" t="s">
        <v>71</v>
      </c>
      <c r="N2" t="s">
        <v>31</v>
      </c>
      <c r="O2" t="s">
        <v>72</v>
      </c>
      <c r="P2" t="s">
        <v>73</v>
      </c>
      <c r="Q2" t="s">
        <v>74</v>
      </c>
      <c r="R2" t="s">
        <v>75</v>
      </c>
      <c r="S2" t="s">
        <v>85</v>
      </c>
      <c r="T2" t="s">
        <v>86</v>
      </c>
      <c r="U2" t="s">
        <v>127</v>
      </c>
      <c r="V2" t="s">
        <v>166</v>
      </c>
      <c r="W2" t="s">
        <v>87</v>
      </c>
      <c r="X2" t="s">
        <v>90</v>
      </c>
      <c r="Y2" t="s">
        <v>91</v>
      </c>
      <c r="Z2" t="s">
        <v>191</v>
      </c>
      <c r="AA2" t="s">
        <v>190</v>
      </c>
      <c r="AB2" t="s">
        <v>179</v>
      </c>
    </row>
    <row r="3" spans="2:28" x14ac:dyDescent="0.25">
      <c r="B3" t="s">
        <v>296</v>
      </c>
      <c r="C3" t="s">
        <v>297</v>
      </c>
      <c r="D3" t="s">
        <v>253</v>
      </c>
      <c r="E3" s="18">
        <v>10000</v>
      </c>
      <c r="F3">
        <v>500</v>
      </c>
      <c r="G3">
        <v>5</v>
      </c>
      <c r="H3">
        <v>200</v>
      </c>
      <c r="I3" s="1">
        <v>0.05</v>
      </c>
      <c r="J3" t="s">
        <v>17</v>
      </c>
      <c r="K3" t="s">
        <v>21</v>
      </c>
      <c r="L3" t="s">
        <v>8</v>
      </c>
      <c r="M3" t="s">
        <v>30</v>
      </c>
      <c r="N3" t="s">
        <v>30</v>
      </c>
      <c r="O3">
        <v>4</v>
      </c>
      <c r="P3">
        <v>800</v>
      </c>
      <c r="Q3">
        <v>12</v>
      </c>
      <c r="R3">
        <v>2</v>
      </c>
      <c r="S3" s="1">
        <v>0.4</v>
      </c>
      <c r="T3" t="s">
        <v>29</v>
      </c>
      <c r="U3">
        <v>1</v>
      </c>
      <c r="V3">
        <v>1</v>
      </c>
      <c r="W3">
        <v>2</v>
      </c>
      <c r="X3">
        <v>0</v>
      </c>
      <c r="Y3">
        <v>1</v>
      </c>
      <c r="Z3" s="1">
        <v>0</v>
      </c>
      <c r="AA3" s="1">
        <v>0</v>
      </c>
      <c r="AB3">
        <v>3</v>
      </c>
    </row>
    <row r="4" spans="2:28" x14ac:dyDescent="0.25">
      <c r="B4" t="s">
        <v>250</v>
      </c>
      <c r="C4" t="s">
        <v>247</v>
      </c>
      <c r="D4" t="s">
        <v>253</v>
      </c>
      <c r="E4" s="18">
        <v>20000</v>
      </c>
      <c r="F4">
        <v>1000</v>
      </c>
      <c r="G4">
        <v>10</v>
      </c>
      <c r="H4">
        <v>400</v>
      </c>
      <c r="I4" s="1">
        <v>0.05</v>
      </c>
      <c r="J4" t="s">
        <v>17</v>
      </c>
      <c r="K4" t="s">
        <v>21</v>
      </c>
      <c r="L4" t="s">
        <v>8</v>
      </c>
      <c r="M4" t="s">
        <v>30</v>
      </c>
      <c r="N4" t="s">
        <v>30</v>
      </c>
      <c r="O4">
        <v>4</v>
      </c>
      <c r="P4">
        <v>800</v>
      </c>
      <c r="Q4">
        <v>12</v>
      </c>
      <c r="R4">
        <v>2</v>
      </c>
      <c r="S4" s="1">
        <v>0.25</v>
      </c>
      <c r="T4" t="s">
        <v>29</v>
      </c>
      <c r="U4">
        <v>1</v>
      </c>
      <c r="V4">
        <v>1</v>
      </c>
      <c r="W4">
        <v>4</v>
      </c>
      <c r="X4">
        <v>0</v>
      </c>
      <c r="Y4">
        <v>1</v>
      </c>
      <c r="Z4" s="1">
        <v>0</v>
      </c>
      <c r="AA4" s="1">
        <v>0</v>
      </c>
      <c r="AB4">
        <v>3</v>
      </c>
    </row>
    <row r="5" spans="2:28" x14ac:dyDescent="0.25">
      <c r="B5" t="s">
        <v>251</v>
      </c>
      <c r="C5" t="s">
        <v>248</v>
      </c>
      <c r="D5" t="s">
        <v>253</v>
      </c>
      <c r="E5" s="18">
        <v>100000</v>
      </c>
      <c r="F5">
        <v>5000</v>
      </c>
      <c r="G5">
        <v>110</v>
      </c>
      <c r="H5">
        <v>800</v>
      </c>
      <c r="I5" s="1">
        <v>0.1</v>
      </c>
      <c r="J5" t="s">
        <v>17</v>
      </c>
      <c r="K5" t="s">
        <v>21</v>
      </c>
      <c r="L5" t="s">
        <v>9</v>
      </c>
      <c r="M5" t="s">
        <v>29</v>
      </c>
      <c r="N5" t="s">
        <v>29</v>
      </c>
      <c r="O5">
        <v>4</v>
      </c>
      <c r="P5">
        <v>800</v>
      </c>
      <c r="Q5">
        <v>60</v>
      </c>
      <c r="R5">
        <v>3</v>
      </c>
      <c r="S5" s="1">
        <v>0.25</v>
      </c>
      <c r="T5" t="s">
        <v>29</v>
      </c>
      <c r="U5">
        <v>3</v>
      </c>
      <c r="V5">
        <v>1</v>
      </c>
      <c r="W5">
        <v>6</v>
      </c>
      <c r="X5">
        <v>1</v>
      </c>
      <c r="Y5">
        <v>1</v>
      </c>
      <c r="Z5" s="1">
        <v>0</v>
      </c>
      <c r="AA5" s="1">
        <v>0</v>
      </c>
      <c r="AB5">
        <v>3</v>
      </c>
    </row>
    <row r="6" spans="2:28" x14ac:dyDescent="0.25">
      <c r="B6" t="s">
        <v>252</v>
      </c>
      <c r="C6" t="s">
        <v>249</v>
      </c>
      <c r="D6" t="s">
        <v>253</v>
      </c>
      <c r="E6" s="18">
        <v>200000</v>
      </c>
      <c r="F6">
        <v>10000</v>
      </c>
      <c r="G6">
        <v>165</v>
      </c>
      <c r="H6">
        <v>1200</v>
      </c>
      <c r="I6" s="1">
        <v>0.1</v>
      </c>
      <c r="J6" t="s">
        <v>17</v>
      </c>
      <c r="K6" t="s">
        <v>21</v>
      </c>
      <c r="L6" t="s">
        <v>9</v>
      </c>
      <c r="M6" t="s">
        <v>29</v>
      </c>
      <c r="N6" t="s">
        <v>29</v>
      </c>
      <c r="O6">
        <v>4</v>
      </c>
      <c r="P6">
        <v>800</v>
      </c>
      <c r="Q6">
        <v>60</v>
      </c>
      <c r="R6">
        <v>4</v>
      </c>
      <c r="S6" s="1">
        <v>0.25</v>
      </c>
      <c r="T6" t="s">
        <v>29</v>
      </c>
      <c r="U6">
        <v>2</v>
      </c>
      <c r="V6">
        <v>1</v>
      </c>
      <c r="W6">
        <v>4</v>
      </c>
      <c r="X6">
        <v>1</v>
      </c>
      <c r="Y6">
        <v>3</v>
      </c>
      <c r="Z6" s="1">
        <v>0.16</v>
      </c>
      <c r="AA6" s="1">
        <v>0.33</v>
      </c>
      <c r="AB6">
        <v>3</v>
      </c>
    </row>
    <row r="7" spans="2:28" x14ac:dyDescent="0.25">
      <c r="E7" s="18"/>
      <c r="I7" s="1"/>
      <c r="S7" s="1"/>
      <c r="Z7" s="1"/>
      <c r="AA7" s="1"/>
    </row>
    <row r="8" spans="2:28" x14ac:dyDescent="0.25">
      <c r="B8" s="17" t="s">
        <v>2</v>
      </c>
      <c r="C8" s="17" t="s">
        <v>0</v>
      </c>
      <c r="D8" s="17" t="s">
        <v>14</v>
      </c>
      <c r="E8" s="17" t="s">
        <v>10</v>
      </c>
      <c r="F8" s="17" t="s">
        <v>15</v>
      </c>
      <c r="G8" s="17" t="s">
        <v>24</v>
      </c>
      <c r="H8" s="17" t="s">
        <v>25</v>
      </c>
      <c r="I8" s="20" t="s">
        <v>60</v>
      </c>
      <c r="J8" s="20" t="s">
        <v>59</v>
      </c>
    </row>
    <row r="9" spans="2:28" x14ac:dyDescent="0.25">
      <c r="B9" s="15" t="s">
        <v>253</v>
      </c>
      <c r="C9" s="15" t="s">
        <v>16</v>
      </c>
      <c r="D9" s="15">
        <v>8</v>
      </c>
      <c r="E9" s="15" t="s">
        <v>11</v>
      </c>
      <c r="F9" s="16">
        <v>0.3</v>
      </c>
      <c r="G9" s="15">
        <v>2</v>
      </c>
      <c r="H9" s="15">
        <v>4</v>
      </c>
      <c r="I9" s="19">
        <v>120</v>
      </c>
      <c r="J9" s="19">
        <v>15000</v>
      </c>
    </row>
    <row r="11" spans="2:28" x14ac:dyDescent="0.25">
      <c r="B11" t="s">
        <v>156</v>
      </c>
      <c r="C11" t="s">
        <v>157</v>
      </c>
    </row>
    <row r="12" spans="2:28" x14ac:dyDescent="0.25">
      <c r="B12">
        <v>12</v>
      </c>
      <c r="C12">
        <v>1</v>
      </c>
    </row>
    <row r="13" spans="2:28" x14ac:dyDescent="0.25">
      <c r="B13">
        <v>24</v>
      </c>
      <c r="C13">
        <v>2</v>
      </c>
    </row>
    <row r="14" spans="2:28" x14ac:dyDescent="0.25">
      <c r="B14">
        <v>60</v>
      </c>
      <c r="C14">
        <v>5</v>
      </c>
    </row>
    <row r="15" spans="2:28" x14ac:dyDescent="0.25">
      <c r="B15">
        <v>84</v>
      </c>
      <c r="C15">
        <v>6</v>
      </c>
    </row>
    <row r="17" spans="2:7" x14ac:dyDescent="0.25">
      <c r="B17" t="s">
        <v>301</v>
      </c>
    </row>
    <row r="18" spans="2:7" x14ac:dyDescent="0.25">
      <c r="B18" t="s">
        <v>8</v>
      </c>
    </row>
    <row r="19" spans="2:7" x14ac:dyDescent="0.25">
      <c r="B19" t="s">
        <v>9</v>
      </c>
    </row>
    <row r="21" spans="2:7" x14ac:dyDescent="0.25">
      <c r="B21" t="s">
        <v>12</v>
      </c>
    </row>
    <row r="22" spans="2:7" x14ac:dyDescent="0.25">
      <c r="B22" t="s">
        <v>11</v>
      </c>
      <c r="F22" s="225"/>
    </row>
    <row r="23" spans="2:7" x14ac:dyDescent="0.25">
      <c r="B23" t="s">
        <v>13</v>
      </c>
    </row>
    <row r="25" spans="2:7" x14ac:dyDescent="0.25">
      <c r="B25" s="56" t="s">
        <v>18</v>
      </c>
    </row>
    <row r="26" spans="2:7" x14ac:dyDescent="0.25">
      <c r="B26" s="55" t="s">
        <v>17</v>
      </c>
    </row>
    <row r="29" spans="2:7" x14ac:dyDescent="0.25">
      <c r="B29" t="s">
        <v>20</v>
      </c>
      <c r="C29" t="s">
        <v>22</v>
      </c>
      <c r="D29" t="s">
        <v>158</v>
      </c>
      <c r="E29" t="s">
        <v>81</v>
      </c>
      <c r="F29" t="s">
        <v>103</v>
      </c>
      <c r="G29" t="s">
        <v>115</v>
      </c>
    </row>
    <row r="30" spans="2:7" x14ac:dyDescent="0.25">
      <c r="B30" t="s">
        <v>21</v>
      </c>
      <c r="C30" t="s">
        <v>19</v>
      </c>
      <c r="D30" s="1">
        <v>0.12</v>
      </c>
      <c r="E30">
        <v>84</v>
      </c>
      <c r="F30">
        <v>8</v>
      </c>
      <c r="G30">
        <v>1</v>
      </c>
    </row>
    <row r="32" spans="2:7" x14ac:dyDescent="0.25">
      <c r="B32" t="s">
        <v>23</v>
      </c>
    </row>
    <row r="33" spans="2:4" x14ac:dyDescent="0.25">
      <c r="B33">
        <v>2</v>
      </c>
    </row>
    <row r="34" spans="2:4" x14ac:dyDescent="0.25">
      <c r="B34">
        <v>3</v>
      </c>
    </row>
    <row r="35" spans="2:4" x14ac:dyDescent="0.25">
      <c r="B35">
        <v>4</v>
      </c>
    </row>
    <row r="37" spans="2:4" x14ac:dyDescent="0.25">
      <c r="B37" t="s">
        <v>28</v>
      </c>
    </row>
    <row r="38" spans="2:4" x14ac:dyDescent="0.25">
      <c r="B38" t="s">
        <v>29</v>
      </c>
    </row>
    <row r="39" spans="2:4" x14ac:dyDescent="0.25">
      <c r="B39" t="s">
        <v>30</v>
      </c>
    </row>
    <row r="41" spans="2:4" x14ac:dyDescent="0.25">
      <c r="B41" t="s">
        <v>5</v>
      </c>
      <c r="C41" t="s">
        <v>162</v>
      </c>
      <c r="D41" t="s">
        <v>163</v>
      </c>
    </row>
    <row r="42" spans="2:4" x14ac:dyDescent="0.25">
      <c r="B42">
        <v>0.5</v>
      </c>
      <c r="C42">
        <v>512</v>
      </c>
      <c r="D42">
        <v>512</v>
      </c>
    </row>
    <row r="43" spans="2:4" x14ac:dyDescent="0.25">
      <c r="B43">
        <v>0.6</v>
      </c>
      <c r="C43">
        <v>512</v>
      </c>
      <c r="D43">
        <v>512</v>
      </c>
    </row>
    <row r="44" spans="2:4" x14ac:dyDescent="0.25">
      <c r="B44">
        <v>1</v>
      </c>
      <c r="C44">
        <v>512</v>
      </c>
      <c r="D44">
        <v>512</v>
      </c>
    </row>
    <row r="45" spans="2:4" x14ac:dyDescent="0.25">
      <c r="B45">
        <v>1.2</v>
      </c>
      <c r="C45">
        <v>512</v>
      </c>
      <c r="D45">
        <v>512</v>
      </c>
    </row>
    <row r="46" spans="2:4" x14ac:dyDescent="0.25">
      <c r="B46">
        <v>2</v>
      </c>
      <c r="C46">
        <v>512</v>
      </c>
      <c r="D46">
        <v>512</v>
      </c>
    </row>
    <row r="47" spans="2:4" x14ac:dyDescent="0.25">
      <c r="B47">
        <v>3</v>
      </c>
      <c r="C47">
        <v>512</v>
      </c>
      <c r="D47">
        <v>512</v>
      </c>
    </row>
    <row r="48" spans="2:4" x14ac:dyDescent="0.25">
      <c r="B48">
        <v>4</v>
      </c>
      <c r="C48">
        <v>512</v>
      </c>
      <c r="D48">
        <v>512</v>
      </c>
    </row>
    <row r="49" spans="2:12" x14ac:dyDescent="0.25">
      <c r="B49">
        <v>6</v>
      </c>
      <c r="C49">
        <v>512</v>
      </c>
      <c r="D49">
        <v>512</v>
      </c>
    </row>
    <row r="51" spans="2:12" x14ac:dyDescent="0.25">
      <c r="B51" t="s">
        <v>6</v>
      </c>
      <c r="C51" t="s">
        <v>162</v>
      </c>
      <c r="D51" t="s">
        <v>164</v>
      </c>
    </row>
    <row r="52" spans="2:12" x14ac:dyDescent="0.25">
      <c r="B52">
        <v>200</v>
      </c>
      <c r="C52">
        <v>4096</v>
      </c>
      <c r="D52">
        <v>512</v>
      </c>
    </row>
    <row r="53" spans="2:12" x14ac:dyDescent="0.25">
      <c r="B53">
        <v>400</v>
      </c>
      <c r="C53">
        <v>4096</v>
      </c>
      <c r="D53">
        <v>512</v>
      </c>
    </row>
    <row r="54" spans="2:12" x14ac:dyDescent="0.25">
      <c r="B54">
        <v>800</v>
      </c>
      <c r="C54">
        <v>4096</v>
      </c>
      <c r="D54">
        <v>512</v>
      </c>
    </row>
    <row r="55" spans="2:12" x14ac:dyDescent="0.25">
      <c r="B55">
        <v>1000</v>
      </c>
      <c r="C55">
        <v>4096</v>
      </c>
      <c r="D55">
        <v>512</v>
      </c>
    </row>
    <row r="56" spans="2:12" x14ac:dyDescent="0.25">
      <c r="B56">
        <v>1200</v>
      </c>
      <c r="C56">
        <v>4096</v>
      </c>
      <c r="D56">
        <v>512</v>
      </c>
    </row>
    <row r="57" spans="2:12" x14ac:dyDescent="0.25">
      <c r="B57">
        <v>1600</v>
      </c>
      <c r="C57">
        <v>4096</v>
      </c>
      <c r="D57">
        <v>512</v>
      </c>
    </row>
    <row r="59" spans="2:12" x14ac:dyDescent="0.25">
      <c r="B59" t="s">
        <v>37</v>
      </c>
      <c r="C59" t="s">
        <v>38</v>
      </c>
      <c r="D59" t="s">
        <v>39</v>
      </c>
      <c r="E59" t="s">
        <v>40</v>
      </c>
      <c r="F59" t="s">
        <v>41</v>
      </c>
      <c r="G59" t="s">
        <v>56</v>
      </c>
      <c r="H59" t="s">
        <v>42</v>
      </c>
      <c r="I59" t="s">
        <v>43</v>
      </c>
      <c r="J59" t="s">
        <v>300</v>
      </c>
      <c r="K59" t="s">
        <v>44</v>
      </c>
      <c r="L59" t="s">
        <v>63</v>
      </c>
    </row>
    <row r="60" spans="2:12" x14ac:dyDescent="0.25">
      <c r="B60" t="s">
        <v>53</v>
      </c>
      <c r="C60" t="s">
        <v>45</v>
      </c>
      <c r="D60">
        <v>0</v>
      </c>
      <c r="E60">
        <v>1</v>
      </c>
      <c r="F60" s="1">
        <v>0</v>
      </c>
      <c r="G60" s="18">
        <v>1</v>
      </c>
      <c r="H60" s="12">
        <v>1</v>
      </c>
      <c r="I60" s="13" t="s">
        <v>46</v>
      </c>
      <c r="J60" s="12">
        <v>1</v>
      </c>
      <c r="K60" s="12" t="e">
        <f>NA()</f>
        <v>#N/A</v>
      </c>
      <c r="L60" s="12" t="e">
        <f>NA()</f>
        <v>#N/A</v>
      </c>
    </row>
    <row r="61" spans="2:12" x14ac:dyDescent="0.25">
      <c r="B61" t="s">
        <v>8</v>
      </c>
      <c r="C61" t="s">
        <v>47</v>
      </c>
      <c r="D61">
        <v>1</v>
      </c>
      <c r="E61">
        <v>2</v>
      </c>
      <c r="F61" s="1">
        <v>0.5</v>
      </c>
      <c r="G61" s="18">
        <v>2</v>
      </c>
      <c r="H61" s="12">
        <v>1</v>
      </c>
      <c r="I61" s="13" t="s">
        <v>48</v>
      </c>
      <c r="J61" s="12">
        <v>2</v>
      </c>
      <c r="K61" s="12" t="e">
        <f>NA()</f>
        <v>#N/A</v>
      </c>
      <c r="L61" s="12">
        <v>3</v>
      </c>
    </row>
    <row r="62" spans="2:12" x14ac:dyDescent="0.25">
      <c r="B62" t="s">
        <v>9</v>
      </c>
      <c r="C62" t="s">
        <v>47</v>
      </c>
      <c r="D62">
        <v>2</v>
      </c>
      <c r="E62">
        <v>3</v>
      </c>
      <c r="F62" s="1">
        <f>2/3</f>
        <v>0.66666666666666663</v>
      </c>
      <c r="G62" s="18">
        <v>3</v>
      </c>
      <c r="H62" s="12">
        <v>1</v>
      </c>
      <c r="I62" s="13" t="s">
        <v>49</v>
      </c>
      <c r="J62" s="12">
        <v>5</v>
      </c>
      <c r="K62" s="12" t="e">
        <f>NA()</f>
        <v>#N/A</v>
      </c>
      <c r="L62" s="12">
        <v>3</v>
      </c>
    </row>
    <row r="63" spans="2:12" x14ac:dyDescent="0.25">
      <c r="B63" t="s">
        <v>50</v>
      </c>
      <c r="C63" t="s">
        <v>51</v>
      </c>
      <c r="D63">
        <v>1</v>
      </c>
      <c r="E63">
        <v>1</v>
      </c>
      <c r="F63" s="1">
        <v>0.33333332999999998</v>
      </c>
      <c r="G63" s="18"/>
      <c r="H63" s="12">
        <v>3</v>
      </c>
      <c r="I63" s="13" t="s">
        <v>46</v>
      </c>
      <c r="J63" s="12">
        <v>3</v>
      </c>
      <c r="K63" s="14">
        <v>8</v>
      </c>
      <c r="L63" s="12">
        <v>4</v>
      </c>
    </row>
    <row r="64" spans="2:12" x14ac:dyDescent="0.25">
      <c r="B64" t="s">
        <v>7</v>
      </c>
      <c r="C64" t="s">
        <v>51</v>
      </c>
      <c r="D64">
        <v>2</v>
      </c>
      <c r="E64">
        <v>1</v>
      </c>
      <c r="F64" s="1">
        <f>1-0.571428571</f>
        <v>0.428571429</v>
      </c>
      <c r="G64" s="18"/>
      <c r="H64" s="12" t="s">
        <v>52</v>
      </c>
      <c r="I64" s="13" t="s">
        <v>46</v>
      </c>
      <c r="J64" s="12">
        <v>7</v>
      </c>
      <c r="K64" s="14">
        <v>17</v>
      </c>
      <c r="L64" s="12">
        <v>4</v>
      </c>
    </row>
  </sheetData>
  <dataValidations count="6">
    <dataValidation type="list" allowBlank="1" showInputMessage="1" showErrorMessage="1" sqref="E9">
      <formula1>$B$22:$B$23</formula1>
    </dataValidation>
    <dataValidation type="list" allowBlank="1" showInputMessage="1" showErrorMessage="1" sqref="J3:J7">
      <formula1>$B$26</formula1>
    </dataValidation>
    <dataValidation type="list" allowBlank="1" showInputMessage="1" showErrorMessage="1" sqref="M3:N7">
      <formula1>$B$38:$B$39</formula1>
    </dataValidation>
    <dataValidation type="list" allowBlank="1" showInputMessage="1" showErrorMessage="1" sqref="D3:D7">
      <formula1>$B$9:$B$9</formula1>
    </dataValidation>
    <dataValidation type="list" allowBlank="1" showInputMessage="1" showErrorMessage="1" sqref="K3:K7">
      <formula1>$B$30:$B$30</formula1>
    </dataValidation>
    <dataValidation type="list" allowBlank="1" showInputMessage="1" showErrorMessage="1" sqref="L3:L7">
      <formula1>$B$18:$B$19</formula1>
    </dataValidation>
  </dataValidations>
  <pageMargins left="0.7" right="0.7" top="0.75" bottom="0.75" header="0.3" footer="0.3"/>
  <tableParts count="12">
    <tablePart r:id="rId1"/>
    <tablePart r:id="rId2"/>
    <tablePart r:id="rId3"/>
    <tablePart r:id="rId4"/>
    <tablePart r:id="rId5"/>
    <tablePart r:id="rId6"/>
    <tablePart r:id="rId7"/>
    <tablePart r:id="rId8"/>
    <tablePart r:id="rId9"/>
    <tablePart r:id="rId10"/>
    <tablePart r:id="rId11"/>
    <tablePart r:id="rId1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2:L8"/>
  <sheetViews>
    <sheetView showGridLines="0" showRowColHeaders="0" zoomScale="85" zoomScaleNormal="85" workbookViewId="0">
      <selection activeCell="B2" sqref="B2"/>
    </sheetView>
  </sheetViews>
  <sheetFormatPr defaultRowHeight="15" x14ac:dyDescent="0.25"/>
  <cols>
    <col min="2" max="2" width="29.42578125" bestFit="1" customWidth="1"/>
    <col min="7" max="7" width="13.7109375" bestFit="1" customWidth="1"/>
  </cols>
  <sheetData>
    <row r="2" spans="2:12" x14ac:dyDescent="0.25">
      <c r="B2" s="121" t="s">
        <v>266</v>
      </c>
      <c r="C2" s="122" t="s">
        <v>54</v>
      </c>
    </row>
    <row r="3" spans="2:12" x14ac:dyDescent="0.25">
      <c r="B3" s="117" t="s">
        <v>81</v>
      </c>
      <c r="C3" s="119">
        <v>84</v>
      </c>
      <c r="F3" s="3"/>
      <c r="G3" s="2"/>
      <c r="H3" s="2"/>
      <c r="I3" s="2"/>
      <c r="J3" s="2"/>
      <c r="K3" s="2"/>
      <c r="L3" s="2"/>
    </row>
    <row r="4" spans="2:12" x14ac:dyDescent="0.25">
      <c r="B4" s="118" t="s">
        <v>98</v>
      </c>
      <c r="C4" s="120">
        <f>(1000^4)/(2^30)/1024</f>
        <v>0.90949470177292824</v>
      </c>
      <c r="F4" s="2"/>
      <c r="G4" s="2"/>
      <c r="H4" s="2"/>
      <c r="I4" s="2"/>
      <c r="J4" s="2"/>
      <c r="K4" s="2"/>
      <c r="L4" s="2"/>
    </row>
    <row r="5" spans="2:12" x14ac:dyDescent="0.25">
      <c r="B5" s="118" t="s">
        <v>104</v>
      </c>
      <c r="C5" s="120">
        <f>(1000^3)/(2^30)</f>
        <v>0.93132257461547852</v>
      </c>
      <c r="F5" s="2"/>
      <c r="G5" s="2"/>
      <c r="H5" s="2"/>
      <c r="I5" s="2"/>
    </row>
    <row r="6" spans="2:12" x14ac:dyDescent="0.25">
      <c r="B6" s="118" t="s">
        <v>103</v>
      </c>
      <c r="C6" s="120">
        <v>8</v>
      </c>
      <c r="F6" s="2"/>
      <c r="G6" s="2"/>
      <c r="H6" s="2"/>
      <c r="I6" s="2"/>
    </row>
    <row r="7" spans="2:12" x14ac:dyDescent="0.25">
      <c r="B7" s="118" t="s">
        <v>115</v>
      </c>
      <c r="C7" s="120">
        <v>1</v>
      </c>
      <c r="F7" s="2"/>
      <c r="G7" s="2"/>
      <c r="H7" s="2"/>
      <c r="I7" s="2"/>
    </row>
    <row r="8" spans="2:12" x14ac:dyDescent="0.25">
      <c r="B8" s="118" t="s">
        <v>265</v>
      </c>
      <c r="C8" s="120">
        <v>1</v>
      </c>
      <c r="F8" s="2"/>
      <c r="G8" s="2"/>
      <c r="H8" s="2"/>
      <c r="I8" s="2"/>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79</vt:i4>
      </vt:variant>
    </vt:vector>
  </HeadingPairs>
  <TitlesOfParts>
    <vt:vector size="84" baseType="lpstr">
      <vt:lpstr>QuickDesign</vt:lpstr>
      <vt:lpstr>AdvancedDesign</vt:lpstr>
      <vt:lpstr>Calculations</vt:lpstr>
      <vt:lpstr>SupportingTables</vt:lpstr>
      <vt:lpstr>Constants</vt:lpstr>
      <vt:lpstr>Architecture</vt:lpstr>
      <vt:lpstr>ColumnCount</vt:lpstr>
      <vt:lpstr>ColumnCountMax</vt:lpstr>
      <vt:lpstr>ColumnCountReduction</vt:lpstr>
      <vt:lpstr>DataCopies</vt:lpstr>
      <vt:lpstr>DesignSizeInTb</vt:lpstr>
      <vt:lpstr>DraftHddCount</vt:lpstr>
      <vt:lpstr>DraftSsdCount</vt:lpstr>
      <vt:lpstr>EA</vt:lpstr>
      <vt:lpstr>EmptyHddSlots</vt:lpstr>
      <vt:lpstr>EmptySsdSlots</vt:lpstr>
      <vt:lpstr>EmptyTotalSlots</vt:lpstr>
      <vt:lpstr>FastRebuildOverheadInGiB</vt:lpstr>
      <vt:lpstr>FillEmptySlots</vt:lpstr>
      <vt:lpstr>FinalHddCount</vt:lpstr>
      <vt:lpstr>FinalSsdCount</vt:lpstr>
      <vt:lpstr>GBtoGiB</vt:lpstr>
      <vt:lpstr>HddBackupPercentage</vt:lpstr>
      <vt:lpstr>HddRebuildPerPool</vt:lpstr>
      <vt:lpstr>HddReserveCapacity</vt:lpstr>
      <vt:lpstr>HddSizeInTB</vt:lpstr>
      <vt:lpstr>HddsReservedForBackup</vt:lpstr>
      <vt:lpstr>InitalJbodSlotsRequired</vt:lpstr>
      <vt:lpstr>InitialHddCount</vt:lpstr>
      <vt:lpstr>InitialJbodCount</vt:lpstr>
      <vt:lpstr>InitialSsdCount</vt:lpstr>
      <vt:lpstr>IntialJbodCount</vt:lpstr>
      <vt:lpstr>IoOperationsTable</vt:lpstr>
      <vt:lpstr>JbodCount</vt:lpstr>
      <vt:lpstr>JbodSlotCount</vt:lpstr>
      <vt:lpstr>MaxNumberOfDisksInPool</vt:lpstr>
      <vt:lpstr>MPIO</vt:lpstr>
      <vt:lpstr>PoolCapacityRawTotalInTiB</vt:lpstr>
      <vt:lpstr>PoolCapacityTotalNetInTiB</vt:lpstr>
      <vt:lpstr>PoolCountMax</vt:lpstr>
      <vt:lpstr>PoolCountMin</vt:lpstr>
      <vt:lpstr>QuickDesignTemplateName</vt:lpstr>
      <vt:lpstr>RawCapacityInTB</vt:lpstr>
      <vt:lpstr>SlabSizeInGiB</vt:lpstr>
      <vt:lpstr>SofsCount</vt:lpstr>
      <vt:lpstr>SolutionTemplateName</vt:lpstr>
      <vt:lpstr>SpacesMetadataOverheadinGiB</vt:lpstr>
      <vt:lpstr>SpacesModel</vt:lpstr>
      <vt:lpstr>SsdBackupPercentage</vt:lpstr>
      <vt:lpstr>SsdHddRatio</vt:lpstr>
      <vt:lpstr>SsdRebuildPerPool</vt:lpstr>
      <vt:lpstr>SsdReserveCapacity</vt:lpstr>
      <vt:lpstr>SsdSizeInGB</vt:lpstr>
      <vt:lpstr>SsdsReservedForBackup</vt:lpstr>
      <vt:lpstr>StorageLayout</vt:lpstr>
      <vt:lpstr>StorageLifeInYears</vt:lpstr>
      <vt:lpstr>SymmetricalHddCount</vt:lpstr>
      <vt:lpstr>SymmetricalSsdCount</vt:lpstr>
      <vt:lpstr>TargetMaxColumnCount</vt:lpstr>
      <vt:lpstr>TargetMaxDataCopies</vt:lpstr>
      <vt:lpstr>TargetMaxDisksPerPool</vt:lpstr>
      <vt:lpstr>TargetMaxPoolCount</vt:lpstr>
      <vt:lpstr>TargetMaxSsdCapacityPercentage</vt:lpstr>
      <vt:lpstr>TargetMaxVdSizeInTiB</vt:lpstr>
      <vt:lpstr>TargetMaxWbcInGiB</vt:lpstr>
      <vt:lpstr>TargetMinColumnCount</vt:lpstr>
      <vt:lpstr>TargetMinDataCopies</vt:lpstr>
      <vt:lpstr>TargetMinDisksPerPool</vt:lpstr>
      <vt:lpstr>TargetMinPoolCount</vt:lpstr>
      <vt:lpstr>TargetMinSsdCapacityPercentage</vt:lpstr>
      <vt:lpstr>TargetMinWbcInGiB</vt:lpstr>
      <vt:lpstr>TargetWorkloadResiliency</vt:lpstr>
      <vt:lpstr>TBtoTiB</vt:lpstr>
      <vt:lpstr>VirtualDiskSizeInPoolWithQuorumInTiB</vt:lpstr>
      <vt:lpstr>VirtualDisksPerSofs</vt:lpstr>
      <vt:lpstr>WbcSizeInGiB</vt:lpstr>
      <vt:lpstr>Workload</vt:lpstr>
      <vt:lpstr>WorkloadBaselineIops</vt:lpstr>
      <vt:lpstr>WorkloadExpansionPercentage</vt:lpstr>
      <vt:lpstr>WorkloadInitialCapacityInTB</vt:lpstr>
      <vt:lpstr>WorkloadIntialCapacity</vt:lpstr>
      <vt:lpstr>WorkloadPeakIops</vt:lpstr>
      <vt:lpstr>WorkloadPoolCount</vt:lpstr>
      <vt:lpstr>WorkloadWorkingIoSetSizeInGB</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Joshua Adams</dc:creator>
  <cp:lastModifiedBy>Joshua Adams</cp:lastModifiedBy>
  <dcterms:created xsi:type="dcterms:W3CDTF">2015-05-04T16:40:10Z</dcterms:created>
  <dcterms:modified xsi:type="dcterms:W3CDTF">2015-07-16T17:07:58Z</dcterms:modified>
</cp:coreProperties>
</file>